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workbookPr filterPrivacy="1" updateLinks="never" codeName="DieseArbeitsmappe"/>
  <xr:revisionPtr revIDLastSave="0" documentId="13_ncr:1_{8292DC97-8160-451D-AB4C-CEEBA79585CA}" xr6:coauthVersionLast="43" xr6:coauthVersionMax="43" xr10:uidLastSave="{00000000-0000-0000-0000-000000000000}"/>
  <workbookProtection workbookAlgorithmName="SHA-512" workbookHashValue="qP6vpLosFDahdgYI9Usj1/Hb0Oor41ny5wNlKteVYwDq1EnkG+JsuExJR3y9qbmJXYgth7frvMG7/bwAuL8zPQ==" workbookSaltValue="IdEkECb8h96NtZuTYHEgSg==" workbookSpinCount="100000" lockStructure="1"/>
  <bookViews>
    <workbookView xWindow="-98" yWindow="-98" windowWidth="22695" windowHeight="14595" tabRatio="847" xr2:uid="{00000000-000D-0000-FFFF-FFFF00000000}"/>
  </bookViews>
  <sheets>
    <sheet name="Einführung" sheetId="1" r:id="rId1"/>
    <sheet name="Bewertung und Gewichtung" sheetId="2" r:id="rId2"/>
    <sheet name="Scoring Summary" sheetId="3" r:id="rId3"/>
    <sheet name="rawScores" sheetId="4" state="hidden" r:id="rId4"/>
    <sheet name="Dashboard" sheetId="24" r:id="rId5"/>
    <sheet name="CROM" sheetId="40" r:id="rId6"/>
    <sheet name="Microsoft Online Services" sheetId="26" r:id="rId7"/>
    <sheet name="Cloud Konzepte" sheetId="11" r:id="rId8"/>
    <sheet name="Ziele und Visionen" sheetId="27" r:id="rId9"/>
    <sheet name="Strategische Projekte" sheetId="7" r:id="rId10"/>
    <sheet name="Cloud Services" sheetId="12" r:id="rId11"/>
    <sheet name="IT Service Management" sheetId="14" r:id="rId12"/>
    <sheet name="IT Asset Management" sheetId="33" r:id="rId13"/>
    <sheet name="Cloud Technologien" sheetId="17" r:id="rId14"/>
    <sheet name="IT Lifecycle" sheetId="18" r:id="rId15"/>
    <sheet name="IT Security und Datenschutz" sheetId="19" r:id="rId16"/>
    <sheet name="Cloud Kompetenzen" sheetId="30" r:id="rId17"/>
    <sheet name="Personalentwicklung" sheetId="28" r:id="rId18"/>
    <sheet name="Wissensmanagement" sheetId="31" r:id="rId19"/>
    <sheet name="Aufbau- und Ablauforganisation" sheetId="34" r:id="rId20"/>
    <sheet name="Kommunikation" sheetId="38" r:id="rId21"/>
    <sheet name="Kontrollsysteme" sheetId="39" r:id="rId22"/>
    <sheet name="Outsourcing" sheetId="35" r:id="rId23"/>
    <sheet name="Lieferanten und Dienstleister" sheetId="37" r:id="rId24"/>
    <sheet name="Verträge" sheetId="36" r:id="rId25"/>
  </sheets>
  <definedNames>
    <definedName name="_xlnm._FilterDatabase" localSheetId="3" hidden="1">rawScores!$A$1:$G$179</definedName>
    <definedName name="Boolean_Scale">'Bewertung und Gewichtung'!$N$6:$N$7</definedName>
    <definedName name="_xlnm.Print_Area" localSheetId="19">'Aufbau- und Ablauforganisation'!$A$1:$E$19</definedName>
    <definedName name="_xlnm.Print_Area" localSheetId="1">'Bewertung und Gewichtung'!$A$1:$J$37</definedName>
    <definedName name="_xlnm.Print_Area" localSheetId="16">'Cloud Kompetenzen'!$A$1:$E$18</definedName>
    <definedName name="_xlnm.Print_Area" localSheetId="7">'Cloud Konzepte'!$A$1:$E$20</definedName>
    <definedName name="_xlnm.Print_Area" localSheetId="10">'Cloud Services'!$A$1:$E$22</definedName>
    <definedName name="_xlnm.Print_Area" localSheetId="13">'Cloud Technologien'!$A$1:$E$20</definedName>
    <definedName name="_xlnm.Print_Area" localSheetId="5">CROM!$A$1:$H$31</definedName>
    <definedName name="_xlnm.Print_Area" localSheetId="4">Dashboard!$A$1:$AH$36</definedName>
    <definedName name="_xlnm.Print_Area" localSheetId="0">Einführung!$A$1:$C$12</definedName>
    <definedName name="_xlnm.Print_Area" localSheetId="12">'IT Asset Management'!$A$1:$E$23</definedName>
    <definedName name="_xlnm.Print_Area" localSheetId="14">'IT Lifecycle'!$A$1:$E$21</definedName>
    <definedName name="_xlnm.Print_Area" localSheetId="15">'IT Security und Datenschutz'!$A$1:$E$24</definedName>
    <definedName name="_xlnm.Print_Area" localSheetId="11">'IT Service Management'!$A$1:$E$23</definedName>
    <definedName name="_xlnm.Print_Area" localSheetId="20">Kommunikation!$A$1:$E$20</definedName>
    <definedName name="_xlnm.Print_Area" localSheetId="21">Kontrollsysteme!$A$1:$E$23</definedName>
    <definedName name="_xlnm.Print_Area" localSheetId="23">'Lieferanten und Dienstleister'!$A$1:$E$20</definedName>
    <definedName name="_xlnm.Print_Area" localSheetId="6">'Microsoft Online Services'!$A$1:$C$19</definedName>
    <definedName name="_xlnm.Print_Area" localSheetId="22">Outsourcing!$A$1:$E$20</definedName>
    <definedName name="_xlnm.Print_Area" localSheetId="17">Personalentwicklung!$A$1:$E$20</definedName>
    <definedName name="_xlnm.Print_Area" localSheetId="2">'Scoring Summary'!$A$1:$D$36</definedName>
    <definedName name="_xlnm.Print_Area" localSheetId="9">'Strategische Projekte'!$A$1:$E$20</definedName>
    <definedName name="_xlnm.Print_Area" localSheetId="24">Verträge!$A$1:$E$22</definedName>
    <definedName name="_xlnm.Print_Area" localSheetId="18">Wissensmanagement!$A$1:$E$20</definedName>
    <definedName name="_xlnm.Print_Area" localSheetId="8">'Ziele und Visionen'!$A$1:$E$21</definedName>
    <definedName name="Likert_Scale">'Bewertung und Gewichtung'!$L$6:$L$10</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2" i="2" l="1"/>
  <c r="E95" i="4" l="1"/>
  <c r="F95" i="4"/>
  <c r="B16" i="19"/>
  <c r="D95" i="4" s="1"/>
  <c r="G95" i="4" s="1"/>
  <c r="E94" i="4"/>
  <c r="F94" i="4" s="1"/>
  <c r="A20" i="19"/>
  <c r="A22" i="19" s="1"/>
  <c r="E92" i="4"/>
  <c r="F92" i="4" s="1"/>
  <c r="E93" i="4"/>
  <c r="F93" i="4" s="1"/>
  <c r="G93" i="4" s="1"/>
  <c r="C95" i="4"/>
  <c r="C85" i="4"/>
  <c r="E85" i="4"/>
  <c r="C86" i="4"/>
  <c r="E86" i="4"/>
  <c r="F86" i="4" s="1"/>
  <c r="C87" i="4"/>
  <c r="E87" i="4"/>
  <c r="F87" i="4" s="1"/>
  <c r="C88" i="4"/>
  <c r="E88" i="4"/>
  <c r="C89" i="4"/>
  <c r="E89" i="4"/>
  <c r="F89" i="4" s="1"/>
  <c r="C90" i="4"/>
  <c r="E90" i="4"/>
  <c r="F90" i="4" s="1"/>
  <c r="C91" i="4"/>
  <c r="E91" i="4"/>
  <c r="F91" i="4" s="1"/>
  <c r="C92" i="4"/>
  <c r="C93" i="4"/>
  <c r="B14" i="19"/>
  <c r="D93" i="4"/>
  <c r="C94" i="4"/>
  <c r="C96" i="4"/>
  <c r="D96" i="4"/>
  <c r="E96" i="4"/>
  <c r="F96" i="4" s="1"/>
  <c r="G96" i="4" s="1"/>
  <c r="I31" i="4"/>
  <c r="J31" i="4"/>
  <c r="K31" i="4" s="1"/>
  <c r="L31" i="4"/>
  <c r="I32" i="4"/>
  <c r="J32" i="4"/>
  <c r="K32" i="4"/>
  <c r="L32" i="4"/>
  <c r="I33" i="4"/>
  <c r="J33" i="4"/>
  <c r="K33" i="4" s="1"/>
  <c r="L33" i="4"/>
  <c r="I34" i="4"/>
  <c r="J34" i="4"/>
  <c r="K34" i="4"/>
  <c r="L34" i="4"/>
  <c r="I35" i="4"/>
  <c r="J35" i="4"/>
  <c r="K35" i="4" s="1"/>
  <c r="L35" i="4"/>
  <c r="I36" i="4"/>
  <c r="J36" i="4"/>
  <c r="K36" i="4" s="1"/>
  <c r="L36" i="4"/>
  <c r="L29" i="4"/>
  <c r="L30" i="4"/>
  <c r="L38" i="4"/>
  <c r="L39" i="4"/>
  <c r="L40" i="4"/>
  <c r="L41" i="4"/>
  <c r="L28" i="4"/>
  <c r="E149" i="4"/>
  <c r="F149" i="4"/>
  <c r="E144" i="4"/>
  <c r="F144" i="4" s="1"/>
  <c r="E142" i="4"/>
  <c r="F142" i="4"/>
  <c r="E141" i="4"/>
  <c r="F141" i="4" s="1"/>
  <c r="E148" i="4"/>
  <c r="F148" i="4"/>
  <c r="G148" i="4" s="1"/>
  <c r="E147" i="4"/>
  <c r="F147" i="4" s="1"/>
  <c r="E146" i="4"/>
  <c r="F146" i="4" s="1"/>
  <c r="E145" i="4"/>
  <c r="F145" i="4"/>
  <c r="E143" i="4"/>
  <c r="F143" i="4" s="1"/>
  <c r="C140" i="4"/>
  <c r="E140" i="4"/>
  <c r="F140" i="4" s="1"/>
  <c r="C141" i="4"/>
  <c r="C142" i="4"/>
  <c r="C143" i="4"/>
  <c r="C144" i="4"/>
  <c r="C145" i="4"/>
  <c r="C146" i="4"/>
  <c r="C147" i="4"/>
  <c r="C148" i="4"/>
  <c r="C149" i="4"/>
  <c r="E119" i="4"/>
  <c r="F119" i="4" s="1"/>
  <c r="E116" i="4"/>
  <c r="F116" i="4" s="1"/>
  <c r="C114" i="4"/>
  <c r="E114" i="4"/>
  <c r="F114" i="4" s="1"/>
  <c r="C115" i="4"/>
  <c r="E115" i="4"/>
  <c r="F115" i="4" s="1"/>
  <c r="C116" i="4"/>
  <c r="C117" i="4"/>
  <c r="E117" i="4"/>
  <c r="F117" i="4" s="1"/>
  <c r="C118" i="4"/>
  <c r="E118" i="4"/>
  <c r="F118" i="4" s="1"/>
  <c r="C119" i="4"/>
  <c r="E109" i="4"/>
  <c r="F109" i="4" s="1"/>
  <c r="E108" i="4"/>
  <c r="F108" i="4"/>
  <c r="E107" i="4"/>
  <c r="F107" i="4" s="1"/>
  <c r="E105" i="4"/>
  <c r="F105" i="4" s="1"/>
  <c r="E106" i="4"/>
  <c r="F106" i="4"/>
  <c r="C105" i="4"/>
  <c r="C106" i="4"/>
  <c r="C107" i="4"/>
  <c r="C108" i="4"/>
  <c r="C109" i="4"/>
  <c r="A14" i="2"/>
  <c r="J28" i="4"/>
  <c r="K28" i="4"/>
  <c r="J29" i="4"/>
  <c r="K29" i="4"/>
  <c r="J30" i="4"/>
  <c r="K30" i="4" s="1"/>
  <c r="J38" i="4"/>
  <c r="K38" i="4" s="1"/>
  <c r="J39" i="4"/>
  <c r="K39" i="4" s="1"/>
  <c r="J40" i="4"/>
  <c r="K40" i="4"/>
  <c r="J41" i="4"/>
  <c r="K41" i="4"/>
  <c r="I40" i="4"/>
  <c r="I41" i="4"/>
  <c r="I28" i="4"/>
  <c r="I29" i="4"/>
  <c r="I30" i="4"/>
  <c r="I37" i="4"/>
  <c r="I38" i="4"/>
  <c r="I39" i="4"/>
  <c r="I27" i="4"/>
  <c r="F85" i="4"/>
  <c r="F88" i="4"/>
  <c r="C82" i="4"/>
  <c r="E82" i="4"/>
  <c r="F82" i="4"/>
  <c r="G82" i="4" s="1"/>
  <c r="C83" i="4"/>
  <c r="E83" i="4"/>
  <c r="F83" i="4" s="1"/>
  <c r="C75" i="4"/>
  <c r="E75" i="4"/>
  <c r="F75" i="4" s="1"/>
  <c r="C76" i="4"/>
  <c r="E76" i="4"/>
  <c r="F76" i="4"/>
  <c r="C77" i="4"/>
  <c r="E77" i="4"/>
  <c r="F77" i="4" s="1"/>
  <c r="C78" i="4"/>
  <c r="E78" i="4"/>
  <c r="F78" i="4"/>
  <c r="C79" i="4"/>
  <c r="E79" i="4"/>
  <c r="F79" i="4" s="1"/>
  <c r="C80" i="4"/>
  <c r="E80" i="4"/>
  <c r="F80" i="4" s="1"/>
  <c r="C81" i="4"/>
  <c r="E81" i="4"/>
  <c r="F81" i="4"/>
  <c r="E66" i="4"/>
  <c r="F66" i="4" s="1"/>
  <c r="E67" i="4"/>
  <c r="F67" i="4" s="1"/>
  <c r="E68" i="4"/>
  <c r="F68" i="4" s="1"/>
  <c r="E69" i="4"/>
  <c r="F69" i="4"/>
  <c r="E70" i="4"/>
  <c r="F70" i="4" s="1"/>
  <c r="E71" i="4"/>
  <c r="F71" i="4"/>
  <c r="E72" i="4"/>
  <c r="F72" i="4" s="1"/>
  <c r="G72" i="4" s="1"/>
  <c r="E73" i="4"/>
  <c r="F73" i="4"/>
  <c r="G73" i="4" s="1"/>
  <c r="C66" i="4"/>
  <c r="C67" i="4"/>
  <c r="C68" i="4"/>
  <c r="C69" i="4"/>
  <c r="C70" i="4"/>
  <c r="C71" i="4"/>
  <c r="C72" i="4"/>
  <c r="C73" i="4"/>
  <c r="E42" i="4"/>
  <c r="F42" i="4" s="1"/>
  <c r="E43" i="4"/>
  <c r="F43" i="4" s="1"/>
  <c r="E44" i="4"/>
  <c r="F44" i="4" s="1"/>
  <c r="E45" i="4"/>
  <c r="F45" i="4"/>
  <c r="E46" i="4"/>
  <c r="F46" i="4" s="1"/>
  <c r="E47" i="4"/>
  <c r="F47" i="4"/>
  <c r="E48" i="4"/>
  <c r="F48" i="4" s="1"/>
  <c r="E49" i="4"/>
  <c r="F49" i="4" s="1"/>
  <c r="E50" i="4"/>
  <c r="F50" i="4"/>
  <c r="E51" i="4"/>
  <c r="F51" i="4" s="1"/>
  <c r="E52" i="4"/>
  <c r="F52" i="4"/>
  <c r="C42" i="4"/>
  <c r="C43" i="4"/>
  <c r="C44" i="4"/>
  <c r="C45" i="4"/>
  <c r="C46" i="4"/>
  <c r="C47" i="4"/>
  <c r="C48" i="4"/>
  <c r="C49" i="4"/>
  <c r="C50" i="4"/>
  <c r="C51" i="4"/>
  <c r="C52" i="4"/>
  <c r="C18" i="4"/>
  <c r="E18" i="4"/>
  <c r="F18" i="4" s="1"/>
  <c r="C19" i="4"/>
  <c r="E19" i="4"/>
  <c r="F19" i="4" s="1"/>
  <c r="C20" i="4"/>
  <c r="E20" i="4"/>
  <c r="F20" i="4"/>
  <c r="C28" i="4"/>
  <c r="E28" i="4"/>
  <c r="F28" i="4"/>
  <c r="C8" i="4"/>
  <c r="E8" i="4"/>
  <c r="F8" i="4" s="1"/>
  <c r="C31" i="4"/>
  <c r="E31" i="4"/>
  <c r="F31" i="4" s="1"/>
  <c r="C32" i="4"/>
  <c r="E32" i="4"/>
  <c r="F32" i="4" s="1"/>
  <c r="C33" i="4"/>
  <c r="E33" i="4"/>
  <c r="F33" i="4"/>
  <c r="C34" i="4"/>
  <c r="E34" i="4"/>
  <c r="F34" i="4" s="1"/>
  <c r="C35" i="4"/>
  <c r="E35" i="4"/>
  <c r="F35" i="4" s="1"/>
  <c r="C36" i="4"/>
  <c r="E36" i="4"/>
  <c r="F36" i="4" s="1"/>
  <c r="C37" i="4"/>
  <c r="E37" i="4"/>
  <c r="F37" i="4" s="1"/>
  <c r="C38" i="4"/>
  <c r="E38" i="4"/>
  <c r="F38" i="4" s="1"/>
  <c r="C39" i="4"/>
  <c r="E39" i="4"/>
  <c r="F39" i="4"/>
  <c r="G39" i="4" s="1"/>
  <c r="C40" i="4"/>
  <c r="E40" i="4"/>
  <c r="F40" i="4"/>
  <c r="C27" i="4"/>
  <c r="E27" i="4"/>
  <c r="F27" i="4" s="1"/>
  <c r="B14" i="12"/>
  <c r="D39" i="4"/>
  <c r="E54" i="4"/>
  <c r="F54" i="4"/>
  <c r="E55" i="4"/>
  <c r="F55" i="4" s="1"/>
  <c r="E56" i="4"/>
  <c r="F56" i="4"/>
  <c r="E57" i="4"/>
  <c r="F57" i="4" s="1"/>
  <c r="E58" i="4"/>
  <c r="F58" i="4"/>
  <c r="E59" i="4"/>
  <c r="F59" i="4"/>
  <c r="E60" i="4"/>
  <c r="F60" i="4" s="1"/>
  <c r="E61" i="4"/>
  <c r="F61" i="4"/>
  <c r="E62" i="4"/>
  <c r="F62" i="4" s="1"/>
  <c r="E63" i="4"/>
  <c r="F63" i="4"/>
  <c r="E64" i="4"/>
  <c r="F64" i="4"/>
  <c r="G64" i="4" s="1"/>
  <c r="C54" i="4"/>
  <c r="C55" i="4"/>
  <c r="C56" i="4"/>
  <c r="C57" i="4"/>
  <c r="C58" i="4"/>
  <c r="C59" i="4"/>
  <c r="C60" i="4"/>
  <c r="C61" i="4"/>
  <c r="C62" i="4"/>
  <c r="C63" i="4"/>
  <c r="C64" i="4"/>
  <c r="E150" i="4"/>
  <c r="F150" i="4"/>
  <c r="E131" i="4"/>
  <c r="F131" i="4" s="1"/>
  <c r="E132" i="4"/>
  <c r="F132" i="4" s="1"/>
  <c r="E133" i="4"/>
  <c r="F133" i="4"/>
  <c r="E134" i="4"/>
  <c r="F134" i="4" s="1"/>
  <c r="E135" i="4"/>
  <c r="F135" i="4" s="1"/>
  <c r="E136" i="4"/>
  <c r="F136" i="4" s="1"/>
  <c r="E137" i="4"/>
  <c r="F137" i="4" s="1"/>
  <c r="G137" i="4" s="1"/>
  <c r="E138" i="4"/>
  <c r="F138" i="4" s="1"/>
  <c r="C138" i="4"/>
  <c r="C131" i="4"/>
  <c r="C132" i="4"/>
  <c r="C133" i="4"/>
  <c r="C134" i="4"/>
  <c r="C135" i="4"/>
  <c r="C136" i="4"/>
  <c r="C137" i="4"/>
  <c r="E120" i="4"/>
  <c r="F120" i="4"/>
  <c r="G120" i="4" s="1"/>
  <c r="E121" i="4"/>
  <c r="F121" i="4" s="1"/>
  <c r="G121" i="4" s="1"/>
  <c r="C120" i="4"/>
  <c r="C121" i="4"/>
  <c r="E110" i="4"/>
  <c r="F110" i="4" s="1"/>
  <c r="E111" i="4"/>
  <c r="F111" i="4"/>
  <c r="E112" i="4"/>
  <c r="F112" i="4" s="1"/>
  <c r="G112" i="4" s="1"/>
  <c r="C110" i="4"/>
  <c r="C111" i="4"/>
  <c r="C112" i="4"/>
  <c r="E123" i="4"/>
  <c r="F123" i="4"/>
  <c r="E124" i="4"/>
  <c r="F124" i="4"/>
  <c r="E125" i="4"/>
  <c r="F125" i="4" s="1"/>
  <c r="E126" i="4"/>
  <c r="F126" i="4"/>
  <c r="E127" i="4"/>
  <c r="F127" i="4" s="1"/>
  <c r="E128" i="4"/>
  <c r="F128" i="4"/>
  <c r="E129" i="4"/>
  <c r="F129" i="4" s="1"/>
  <c r="C129" i="4"/>
  <c r="C123" i="4"/>
  <c r="C124" i="4"/>
  <c r="C125" i="4"/>
  <c r="C126" i="4"/>
  <c r="C127" i="4"/>
  <c r="C128" i="4"/>
  <c r="A16" i="37"/>
  <c r="E165" i="4"/>
  <c r="F165" i="4" s="1"/>
  <c r="E166" i="4"/>
  <c r="F166" i="4"/>
  <c r="E167" i="4"/>
  <c r="F167" i="4"/>
  <c r="E168" i="4"/>
  <c r="F168" i="4"/>
  <c r="C164" i="4"/>
  <c r="C165" i="4"/>
  <c r="C166" i="4"/>
  <c r="C167" i="4"/>
  <c r="C168" i="4"/>
  <c r="B12" i="37"/>
  <c r="D167" i="4" s="1"/>
  <c r="G167" i="4" s="1"/>
  <c r="E177" i="4"/>
  <c r="F177" i="4"/>
  <c r="E178" i="4"/>
  <c r="F178" i="4" s="1"/>
  <c r="E179" i="4"/>
  <c r="F179" i="4"/>
  <c r="C177" i="4"/>
  <c r="C178" i="4"/>
  <c r="C179" i="4"/>
  <c r="E170" i="4"/>
  <c r="F170" i="4" s="1"/>
  <c r="E171" i="4"/>
  <c r="F171" i="4" s="1"/>
  <c r="E172" i="4"/>
  <c r="F172" i="4"/>
  <c r="E173" i="4"/>
  <c r="F173" i="4" s="1"/>
  <c r="E174" i="4"/>
  <c r="F174" i="4"/>
  <c r="E175" i="4"/>
  <c r="F175" i="4" s="1"/>
  <c r="E176" i="4"/>
  <c r="F176" i="4" s="1"/>
  <c r="C170" i="4"/>
  <c r="C171" i="4"/>
  <c r="C172" i="4"/>
  <c r="C173" i="4"/>
  <c r="C174" i="4"/>
  <c r="C175" i="4"/>
  <c r="C176" i="4"/>
  <c r="E29" i="4"/>
  <c r="F29" i="4"/>
  <c r="C29" i="4"/>
  <c r="E9" i="4"/>
  <c r="F9" i="4"/>
  <c r="E10" i="4"/>
  <c r="F10" i="4" s="1"/>
  <c r="G10" i="4" s="1"/>
  <c r="C9" i="4"/>
  <c r="C10" i="4"/>
  <c r="E12" i="4"/>
  <c r="F12" i="4" s="1"/>
  <c r="E13" i="4"/>
  <c r="F13" i="4" s="1"/>
  <c r="E14" i="4"/>
  <c r="F14" i="4" s="1"/>
  <c r="E15" i="4"/>
  <c r="F15" i="4" s="1"/>
  <c r="E16" i="4"/>
  <c r="F16" i="4" s="1"/>
  <c r="E17" i="4"/>
  <c r="F17" i="4" s="1"/>
  <c r="E11" i="4"/>
  <c r="F11" i="4" s="1"/>
  <c r="C12" i="4"/>
  <c r="C13" i="4"/>
  <c r="C14" i="4"/>
  <c r="C15" i="4"/>
  <c r="C16" i="4"/>
  <c r="C17" i="4"/>
  <c r="C11" i="4"/>
  <c r="E3" i="4"/>
  <c r="F3" i="4"/>
  <c r="E4" i="4"/>
  <c r="F4" i="4"/>
  <c r="E5" i="4"/>
  <c r="F5" i="4"/>
  <c r="E6" i="4"/>
  <c r="F6" i="4" s="1"/>
  <c r="E7" i="4"/>
  <c r="F7" i="4"/>
  <c r="E2" i="4"/>
  <c r="F2" i="4" s="1"/>
  <c r="C3" i="4"/>
  <c r="C4" i="4"/>
  <c r="C5" i="4"/>
  <c r="C6" i="4"/>
  <c r="C7" i="4"/>
  <c r="C2" i="4"/>
  <c r="G23" i="2"/>
  <c r="C14" i="3"/>
  <c r="G36" i="2"/>
  <c r="C27" i="3"/>
  <c r="G37" i="2"/>
  <c r="C28" i="3"/>
  <c r="G35" i="2"/>
  <c r="G34" i="2" s="1"/>
  <c r="C25" i="3" s="1"/>
  <c r="G33" i="2"/>
  <c r="C24" i="3" s="1"/>
  <c r="G32" i="2"/>
  <c r="C23" i="3"/>
  <c r="G31" i="2"/>
  <c r="G29" i="2"/>
  <c r="C20" i="3"/>
  <c r="G28" i="2"/>
  <c r="C19" i="3" s="1"/>
  <c r="G27" i="2"/>
  <c r="C18" i="3"/>
  <c r="G25" i="2"/>
  <c r="G24" i="2"/>
  <c r="C15" i="3"/>
  <c r="G21" i="2"/>
  <c r="C12" i="3"/>
  <c r="G20" i="2"/>
  <c r="C11" i="3" s="1"/>
  <c r="G19" i="2"/>
  <c r="C10" i="3"/>
  <c r="G16" i="2"/>
  <c r="C7" i="3" s="1"/>
  <c r="G17" i="2"/>
  <c r="C8" i="3"/>
  <c r="G15" i="2"/>
  <c r="C6" i="3" s="1"/>
  <c r="A37" i="2"/>
  <c r="A28" i="3" s="1"/>
  <c r="A13" i="3"/>
  <c r="A33" i="3" s="1"/>
  <c r="A7" i="40" s="1"/>
  <c r="A23" i="2"/>
  <c r="A14" i="3" s="1"/>
  <c r="A24" i="2"/>
  <c r="A15" i="3"/>
  <c r="A25" i="2"/>
  <c r="A16" i="3" s="1"/>
  <c r="A26" i="2"/>
  <c r="A17" i="3"/>
  <c r="A34" i="3"/>
  <c r="A8" i="40" s="1"/>
  <c r="A27" i="2"/>
  <c r="A18" i="3"/>
  <c r="A28" i="2"/>
  <c r="A19" i="3" s="1"/>
  <c r="A29" i="2"/>
  <c r="A20" i="3"/>
  <c r="A30" i="2"/>
  <c r="A21" i="3" s="1"/>
  <c r="A35" i="3" s="1"/>
  <c r="A9" i="40" s="1"/>
  <c r="A31" i="2"/>
  <c r="A22" i="3" s="1"/>
  <c r="A32" i="2"/>
  <c r="A23" i="3"/>
  <c r="A33" i="2"/>
  <c r="A24" i="3" s="1"/>
  <c r="A34" i="2"/>
  <c r="A25" i="3"/>
  <c r="A36" i="3"/>
  <c r="A10" i="40" s="1"/>
  <c r="A35" i="2"/>
  <c r="A26" i="3"/>
  <c r="A36" i="2"/>
  <c r="A27" i="3" s="1"/>
  <c r="E169" i="4"/>
  <c r="F169" i="4" s="1"/>
  <c r="C169" i="4"/>
  <c r="E161" i="4"/>
  <c r="F161" i="4" s="1"/>
  <c r="E162" i="4"/>
  <c r="F162" i="4"/>
  <c r="E163" i="4"/>
  <c r="F163" i="4" s="1"/>
  <c r="E164" i="4"/>
  <c r="F164" i="4" s="1"/>
  <c r="E160" i="4"/>
  <c r="F160" i="4"/>
  <c r="C161" i="4"/>
  <c r="C162" i="4"/>
  <c r="C163" i="4"/>
  <c r="C160" i="4"/>
  <c r="C152" i="4"/>
  <c r="E152" i="4"/>
  <c r="F152" i="4" s="1"/>
  <c r="C153" i="4"/>
  <c r="E153" i="4"/>
  <c r="F153" i="4" s="1"/>
  <c r="C154" i="4"/>
  <c r="E154" i="4"/>
  <c r="F154" i="4" s="1"/>
  <c r="C155" i="4"/>
  <c r="E155" i="4"/>
  <c r="F155" i="4" s="1"/>
  <c r="C156" i="4"/>
  <c r="E156" i="4"/>
  <c r="F156" i="4"/>
  <c r="G156" i="4" s="1"/>
  <c r="C157" i="4"/>
  <c r="E157" i="4"/>
  <c r="F157" i="4" s="1"/>
  <c r="C158" i="4"/>
  <c r="E158" i="4"/>
  <c r="F158" i="4" s="1"/>
  <c r="C159" i="4"/>
  <c r="E159" i="4"/>
  <c r="F159" i="4"/>
  <c r="E151" i="4"/>
  <c r="F151" i="4" s="1"/>
  <c r="C151" i="4"/>
  <c r="E139" i="4"/>
  <c r="F139" i="4" s="1"/>
  <c r="C150" i="4"/>
  <c r="C139" i="4"/>
  <c r="E130" i="4"/>
  <c r="F130" i="4" s="1"/>
  <c r="C130" i="4"/>
  <c r="C122" i="4"/>
  <c r="E122" i="4"/>
  <c r="F122" i="4" s="1"/>
  <c r="A18" i="36"/>
  <c r="A20" i="36" s="1"/>
  <c r="B15" i="36"/>
  <c r="D179" i="4" s="1"/>
  <c r="G179" i="4" s="1"/>
  <c r="B14" i="36"/>
  <c r="D178" i="4" s="1"/>
  <c r="A18" i="37"/>
  <c r="B7" i="37" s="1"/>
  <c r="D162" i="4" s="1"/>
  <c r="B11" i="37"/>
  <c r="D166" i="4"/>
  <c r="B13" i="37"/>
  <c r="D168" i="4" s="1"/>
  <c r="A16" i="35"/>
  <c r="A18" i="35"/>
  <c r="B6" i="35" s="1"/>
  <c r="D152" i="4" s="1"/>
  <c r="B13" i="35"/>
  <c r="D159" i="4" s="1"/>
  <c r="B12" i="35"/>
  <c r="D158" i="4" s="1"/>
  <c r="A19" i="39"/>
  <c r="A21" i="39" s="1"/>
  <c r="B16" i="39"/>
  <c r="D150" i="4" s="1"/>
  <c r="B15" i="39"/>
  <c r="D149" i="4" s="1"/>
  <c r="A16" i="38"/>
  <c r="A18" i="38"/>
  <c r="B8" i="38" s="1"/>
  <c r="D133" i="4" s="1"/>
  <c r="G133" i="4" s="1"/>
  <c r="B13" i="38"/>
  <c r="D138" i="4" s="1"/>
  <c r="B12" i="38"/>
  <c r="D137" i="4"/>
  <c r="A15" i="34"/>
  <c r="A17" i="34" s="1"/>
  <c r="B12" i="34"/>
  <c r="D129" i="4"/>
  <c r="B11" i="34"/>
  <c r="D128" i="4" s="1"/>
  <c r="G128" i="4" s="1"/>
  <c r="A16" i="7"/>
  <c r="B14" i="39"/>
  <c r="C26" i="3"/>
  <c r="G26" i="2"/>
  <c r="C17" i="3"/>
  <c r="G158" i="4"/>
  <c r="G129" i="4"/>
  <c r="B10" i="34"/>
  <c r="D127" i="4"/>
  <c r="B8" i="35"/>
  <c r="D154" i="4"/>
  <c r="B10" i="35"/>
  <c r="D156" i="4"/>
  <c r="B5" i="37"/>
  <c r="D160" i="4" s="1"/>
  <c r="B8" i="37"/>
  <c r="D163" i="4" s="1"/>
  <c r="B10" i="37"/>
  <c r="D165" i="4" s="1"/>
  <c r="B10" i="36"/>
  <c r="D174" i="4" s="1"/>
  <c r="D148" i="4"/>
  <c r="B13" i="7"/>
  <c r="D29" i="4"/>
  <c r="G29" i="4" s="1"/>
  <c r="B12" i="7"/>
  <c r="D28" i="4" s="1"/>
  <c r="A16" i="17"/>
  <c r="A18" i="17" s="1"/>
  <c r="B13" i="17"/>
  <c r="D73" i="4"/>
  <c r="B14" i="18"/>
  <c r="D83" i="4"/>
  <c r="G83" i="4"/>
  <c r="B13" i="18"/>
  <c r="D82" i="4"/>
  <c r="A17" i="18"/>
  <c r="B11" i="30"/>
  <c r="B10" i="30"/>
  <c r="A14" i="30"/>
  <c r="A16" i="30" s="1"/>
  <c r="A16" i="28"/>
  <c r="A18" i="28" s="1"/>
  <c r="A16" i="31"/>
  <c r="B13" i="31"/>
  <c r="D121" i="4" s="1"/>
  <c r="B12" i="31"/>
  <c r="B16" i="33"/>
  <c r="D64" i="4" s="1"/>
  <c r="B15" i="33"/>
  <c r="D63" i="4" s="1"/>
  <c r="G63" i="4" s="1"/>
  <c r="A19" i="33"/>
  <c r="A21" i="33" s="1"/>
  <c r="A19" i="14"/>
  <c r="A21" i="14" s="1"/>
  <c r="B15" i="12"/>
  <c r="D40" i="4" s="1"/>
  <c r="A18" i="12"/>
  <c r="A16" i="11"/>
  <c r="A18" i="11" s="1"/>
  <c r="B12" i="11"/>
  <c r="D9" i="4"/>
  <c r="G9" i="4" s="1"/>
  <c r="B13" i="11"/>
  <c r="D10" i="4"/>
  <c r="B13" i="27"/>
  <c r="D19" i="4" s="1"/>
  <c r="B14" i="27"/>
  <c r="D20" i="4" s="1"/>
  <c r="G20" i="4" s="1"/>
  <c r="A17" i="27"/>
  <c r="A19" i="27" s="1"/>
  <c r="E113" i="4"/>
  <c r="F113" i="4"/>
  <c r="C113" i="4"/>
  <c r="E104" i="4"/>
  <c r="F104" i="4"/>
  <c r="C104" i="4"/>
  <c r="C102" i="4"/>
  <c r="C98" i="4"/>
  <c r="E98" i="4"/>
  <c r="F98" i="4" s="1"/>
  <c r="C99" i="4"/>
  <c r="E99" i="4"/>
  <c r="F99" i="4" s="1"/>
  <c r="C100" i="4"/>
  <c r="E100" i="4"/>
  <c r="F100" i="4" s="1"/>
  <c r="C101" i="4"/>
  <c r="E101" i="4"/>
  <c r="F101" i="4"/>
  <c r="E102" i="4"/>
  <c r="F102" i="4"/>
  <c r="C103" i="4"/>
  <c r="E103" i="4"/>
  <c r="F103" i="4" s="1"/>
  <c r="G103" i="4" s="1"/>
  <c r="E97" i="4"/>
  <c r="F97" i="4" s="1"/>
  <c r="C97" i="4"/>
  <c r="G14" i="2"/>
  <c r="E84" i="4"/>
  <c r="F84" i="4" s="1"/>
  <c r="C84" i="4"/>
  <c r="E74" i="4"/>
  <c r="F74" i="4" s="1"/>
  <c r="C74" i="4"/>
  <c r="E65" i="4"/>
  <c r="F65" i="4" s="1"/>
  <c r="C65" i="4"/>
  <c r="E53" i="4"/>
  <c r="F53" i="4"/>
  <c r="C53" i="4"/>
  <c r="A21" i="2"/>
  <c r="A12" i="3"/>
  <c r="A20" i="2"/>
  <c r="A11" i="3"/>
  <c r="A19" i="2"/>
  <c r="A10" i="3"/>
  <c r="A18" i="2"/>
  <c r="A9" i="3"/>
  <c r="A32" i="3" s="1"/>
  <c r="A6" i="40" s="1"/>
  <c r="A17" i="2"/>
  <c r="A8" i="3"/>
  <c r="A16" i="2"/>
  <c r="A7" i="3" s="1"/>
  <c r="A15" i="2"/>
  <c r="A6" i="3"/>
  <c r="B12" i="33"/>
  <c r="D60" i="4"/>
  <c r="B7" i="33"/>
  <c r="D55" i="4" s="1"/>
  <c r="G18" i="2"/>
  <c r="C9" i="3" s="1"/>
  <c r="E41" i="4"/>
  <c r="F41" i="4" s="1"/>
  <c r="C41" i="4"/>
  <c r="C30" i="4"/>
  <c r="E30" i="4"/>
  <c r="F30" i="4" s="1"/>
  <c r="C22" i="4"/>
  <c r="E22" i="4"/>
  <c r="F22" i="4"/>
  <c r="C23" i="4"/>
  <c r="E23" i="4"/>
  <c r="F23" i="4" s="1"/>
  <c r="C24" i="4"/>
  <c r="E24" i="4"/>
  <c r="F24" i="4"/>
  <c r="C25" i="4"/>
  <c r="E25" i="4"/>
  <c r="F25" i="4" s="1"/>
  <c r="C26" i="4"/>
  <c r="E26" i="4"/>
  <c r="F26" i="4" s="1"/>
  <c r="E21" i="4"/>
  <c r="F21" i="4"/>
  <c r="C21" i="4"/>
  <c r="A18" i="31"/>
  <c r="B5" i="31" s="1"/>
  <c r="D113" i="4" s="1"/>
  <c r="B11" i="31"/>
  <c r="D119" i="4" s="1"/>
  <c r="G119" i="4" s="1"/>
  <c r="B7" i="27"/>
  <c r="D13" i="4" s="1"/>
  <c r="G13" i="4" s="1"/>
  <c r="B13" i="28"/>
  <c r="B12" i="28"/>
  <c r="B10" i="31"/>
  <c r="D118" i="4"/>
  <c r="B9" i="31"/>
  <c r="D117" i="4" s="1"/>
  <c r="D120" i="4"/>
  <c r="D102" i="4"/>
  <c r="G102" i="4"/>
  <c r="D103" i="4"/>
  <c r="D112" i="4"/>
  <c r="D111" i="4"/>
  <c r="A5" i="3"/>
  <c r="A31" i="3"/>
  <c r="A5" i="40"/>
  <c r="A19" i="18"/>
  <c r="A20" i="12"/>
  <c r="A18" i="7"/>
  <c r="B12" i="17"/>
  <c r="D72" i="4" s="1"/>
  <c r="B5" i="18"/>
  <c r="D74" i="4" s="1"/>
  <c r="B6" i="12"/>
  <c r="D31" i="4" s="1"/>
  <c r="B5" i="12"/>
  <c r="B6" i="17"/>
  <c r="D66" i="4"/>
  <c r="B7" i="17"/>
  <c r="D67" i="4" s="1"/>
  <c r="B17" i="19"/>
  <c r="B16" i="14"/>
  <c r="D52" i="4" s="1"/>
  <c r="B12" i="14"/>
  <c r="D48" i="4" s="1"/>
  <c r="B15" i="14"/>
  <c r="D51" i="4" s="1"/>
  <c r="G51" i="4" s="1"/>
  <c r="B7" i="7"/>
  <c r="D23" i="4" s="1"/>
  <c r="B5" i="7"/>
  <c r="D21" i="4" s="1"/>
  <c r="G21" i="4" s="1"/>
  <c r="B6" i="11"/>
  <c r="D3" i="4" s="1"/>
  <c r="G3" i="4" s="1"/>
  <c r="B7" i="11"/>
  <c r="D4" i="4" s="1"/>
  <c r="G4" i="4"/>
  <c r="B8" i="11"/>
  <c r="D5" i="4" s="1"/>
  <c r="B9" i="11"/>
  <c r="D6" i="4" s="1"/>
  <c r="G23" i="4" l="1"/>
  <c r="B9" i="28"/>
  <c r="D108" i="4" s="1"/>
  <c r="G108" i="4" s="1"/>
  <c r="B8" i="28"/>
  <c r="D107" i="4" s="1"/>
  <c r="G107" i="4" s="1"/>
  <c r="B11" i="28"/>
  <c r="D110" i="4" s="1"/>
  <c r="G110" i="4" s="1"/>
  <c r="B6" i="28"/>
  <c r="D105" i="4" s="1"/>
  <c r="B7" i="28"/>
  <c r="D106" i="4" s="1"/>
  <c r="G106" i="4" s="1"/>
  <c r="B5" i="28"/>
  <c r="B10" i="28"/>
  <c r="D109" i="4" s="1"/>
  <c r="G5" i="4"/>
  <c r="G131" i="4"/>
  <c r="B6" i="30"/>
  <c r="D98" i="4" s="1"/>
  <c r="B8" i="30"/>
  <c r="D100" i="4" s="1"/>
  <c r="G100" i="4" s="1"/>
  <c r="B5" i="30"/>
  <c r="B7" i="30"/>
  <c r="D99" i="4" s="1"/>
  <c r="G99" i="4" s="1"/>
  <c r="B9" i="30"/>
  <c r="D101" i="4" s="1"/>
  <c r="G8" i="4"/>
  <c r="B7" i="12"/>
  <c r="D32" i="4" s="1"/>
  <c r="G32" i="4" s="1"/>
  <c r="B9" i="12"/>
  <c r="D34" i="4" s="1"/>
  <c r="G34" i="4" s="1"/>
  <c r="G153" i="4"/>
  <c r="G40" i="4"/>
  <c r="G52" i="4"/>
  <c r="B10" i="33"/>
  <c r="D58" i="4" s="1"/>
  <c r="G58" i="4" s="1"/>
  <c r="B9" i="33"/>
  <c r="D57" i="4" s="1"/>
  <c r="G57" i="4" s="1"/>
  <c r="B6" i="33"/>
  <c r="D54" i="4" s="1"/>
  <c r="B14" i="33"/>
  <c r="D62" i="4" s="1"/>
  <c r="G62" i="4" s="1"/>
  <c r="B8" i="33"/>
  <c r="D56" i="4" s="1"/>
  <c r="G56" i="4" s="1"/>
  <c r="B5" i="33"/>
  <c r="G159" i="4"/>
  <c r="G111" i="4"/>
  <c r="G138" i="4"/>
  <c r="G54" i="4"/>
  <c r="B8" i="12"/>
  <c r="D33" i="4" s="1"/>
  <c r="G33" i="4" s="1"/>
  <c r="B10" i="18"/>
  <c r="D79" i="4" s="1"/>
  <c r="G79" i="4" s="1"/>
  <c r="B8" i="18"/>
  <c r="D77" i="4" s="1"/>
  <c r="B11" i="18"/>
  <c r="D80" i="4" s="1"/>
  <c r="G80" i="4" s="1"/>
  <c r="G55" i="4"/>
  <c r="B12" i="18"/>
  <c r="D81" i="4" s="1"/>
  <c r="B11" i="12"/>
  <c r="D36" i="4" s="1"/>
  <c r="G36" i="4" s="1"/>
  <c r="B7" i="18"/>
  <c r="D76" i="4" s="1"/>
  <c r="C5" i="3"/>
  <c r="G118" i="4"/>
  <c r="B6" i="7"/>
  <c r="D22" i="4" s="1"/>
  <c r="G22" i="4" s="1"/>
  <c r="B9" i="7"/>
  <c r="D25" i="4" s="1"/>
  <c r="G28" i="4"/>
  <c r="B10" i="12"/>
  <c r="D35" i="4" s="1"/>
  <c r="G35" i="4" s="1"/>
  <c r="B13" i="33"/>
  <c r="D61" i="4" s="1"/>
  <c r="G61" i="4" s="1"/>
  <c r="G123" i="4"/>
  <c r="B10" i="7"/>
  <c r="D26" i="4" s="1"/>
  <c r="G26" i="4" s="1"/>
  <c r="B12" i="12"/>
  <c r="D37" i="4" s="1"/>
  <c r="G37" i="4" s="1"/>
  <c r="B5" i="17"/>
  <c r="B10" i="17"/>
  <c r="D70" i="4" s="1"/>
  <c r="G70" i="4" s="1"/>
  <c r="B11" i="17"/>
  <c r="D71" i="4" s="1"/>
  <c r="G71" i="4" s="1"/>
  <c r="B9" i="17"/>
  <c r="D69" i="4" s="1"/>
  <c r="G69" i="4" s="1"/>
  <c r="G76" i="4"/>
  <c r="G101" i="4"/>
  <c r="B6" i="38"/>
  <c r="D131" i="4" s="1"/>
  <c r="B9" i="38"/>
  <c r="D134" i="4" s="1"/>
  <c r="G134" i="4" s="1"/>
  <c r="B5" i="38"/>
  <c r="B10" i="38"/>
  <c r="D135" i="4" s="1"/>
  <c r="G135" i="4" s="1"/>
  <c r="B7" i="38"/>
  <c r="D132" i="4" s="1"/>
  <c r="B11" i="38"/>
  <c r="D136" i="4" s="1"/>
  <c r="G136" i="4" s="1"/>
  <c r="G174" i="4"/>
  <c r="B6" i="18"/>
  <c r="D75" i="4" s="1"/>
  <c r="B7" i="34"/>
  <c r="D124" i="4" s="1"/>
  <c r="G124" i="4" s="1"/>
  <c r="B8" i="34"/>
  <c r="D125" i="4" s="1"/>
  <c r="G125" i="4" s="1"/>
  <c r="B9" i="34"/>
  <c r="D126" i="4" s="1"/>
  <c r="G126" i="4" s="1"/>
  <c r="B6" i="34"/>
  <c r="D123" i="4" s="1"/>
  <c r="G30" i="2"/>
  <c r="C21" i="3" s="1"/>
  <c r="C22" i="3"/>
  <c r="B8" i="7"/>
  <c r="D24" i="4" s="1"/>
  <c r="G24" i="4" s="1"/>
  <c r="B9" i="18"/>
  <c r="D78" i="4" s="1"/>
  <c r="G78" i="4" s="1"/>
  <c r="G113" i="4"/>
  <c r="G105" i="4"/>
  <c r="B8" i="17"/>
  <c r="D68" i="4" s="1"/>
  <c r="D30" i="4"/>
  <c r="G30" i="4" s="1"/>
  <c r="B13" i="12"/>
  <c r="D38" i="4" s="1"/>
  <c r="G38" i="4" s="1"/>
  <c r="B11" i="7"/>
  <c r="D27" i="4" s="1"/>
  <c r="G27" i="4" s="1"/>
  <c r="G25" i="4"/>
  <c r="B11" i="33"/>
  <c r="D59" i="4" s="1"/>
  <c r="G59" i="4" s="1"/>
  <c r="G98" i="4"/>
  <c r="B10" i="11"/>
  <c r="D7" i="4" s="1"/>
  <c r="B11" i="11"/>
  <c r="D8" i="4" s="1"/>
  <c r="B5" i="11"/>
  <c r="B5" i="34"/>
  <c r="G178" i="4"/>
  <c r="G154" i="4"/>
  <c r="G22" i="2"/>
  <c r="C13" i="3" s="1"/>
  <c r="C16" i="3"/>
  <c r="G74" i="4"/>
  <c r="B11" i="35"/>
  <c r="D157" i="4" s="1"/>
  <c r="G157" i="4" s="1"/>
  <c r="B9" i="35"/>
  <c r="D155" i="4" s="1"/>
  <c r="B7" i="31"/>
  <c r="D115" i="4" s="1"/>
  <c r="G115" i="4" s="1"/>
  <c r="G6" i="4"/>
  <c r="G132" i="4"/>
  <c r="G60" i="4"/>
  <c r="G77" i="4"/>
  <c r="G117" i="4"/>
  <c r="G68" i="4"/>
  <c r="B6" i="31"/>
  <c r="D114" i="4" s="1"/>
  <c r="G114" i="4" s="1"/>
  <c r="B8" i="31"/>
  <c r="D116" i="4" s="1"/>
  <c r="G160" i="4"/>
  <c r="B7" i="35"/>
  <c r="D153" i="4" s="1"/>
  <c r="G149" i="4"/>
  <c r="G152" i="4"/>
  <c r="G127" i="4"/>
  <c r="G67" i="4"/>
  <c r="G109" i="4"/>
  <c r="B5" i="35"/>
  <c r="G150" i="4"/>
  <c r="G168" i="4"/>
  <c r="G155" i="4"/>
  <c r="G66" i="4"/>
  <c r="G75" i="4"/>
  <c r="G19" i="4"/>
  <c r="G166" i="4"/>
  <c r="G7" i="4"/>
  <c r="G81" i="4"/>
  <c r="G31" i="4"/>
  <c r="G116" i="4"/>
  <c r="B12" i="36"/>
  <c r="D176" i="4" s="1"/>
  <c r="G176" i="4" s="1"/>
  <c r="B6" i="36"/>
  <c r="D170" i="4" s="1"/>
  <c r="G170" i="4" s="1"/>
  <c r="B13" i="36"/>
  <c r="D177" i="4" s="1"/>
  <c r="G177" i="4" s="1"/>
  <c r="B11" i="36"/>
  <c r="D175" i="4" s="1"/>
  <c r="G175" i="4" s="1"/>
  <c r="B5" i="36"/>
  <c r="B7" i="36"/>
  <c r="D171" i="4" s="1"/>
  <c r="G171" i="4" s="1"/>
  <c r="B8" i="36"/>
  <c r="D172" i="4" s="1"/>
  <c r="G172" i="4" s="1"/>
  <c r="B9" i="36"/>
  <c r="D173" i="4" s="1"/>
  <c r="G173" i="4" s="1"/>
  <c r="B6" i="37"/>
  <c r="D161" i="4" s="1"/>
  <c r="G161" i="4" s="1"/>
  <c r="B9" i="37"/>
  <c r="D164" i="4" s="1"/>
  <c r="G164" i="4" s="1"/>
  <c r="G163" i="4"/>
  <c r="G162" i="4"/>
  <c r="G165" i="4"/>
  <c r="B13" i="39"/>
  <c r="D147" i="4" s="1"/>
  <c r="B12" i="39"/>
  <c r="D146" i="4" s="1"/>
  <c r="G146" i="4" s="1"/>
  <c r="B9" i="39"/>
  <c r="D143" i="4" s="1"/>
  <c r="G143" i="4" s="1"/>
  <c r="B10" i="39"/>
  <c r="D144" i="4" s="1"/>
  <c r="G144" i="4" s="1"/>
  <c r="B7" i="39"/>
  <c r="D141" i="4" s="1"/>
  <c r="G141" i="4" s="1"/>
  <c r="B11" i="39"/>
  <c r="D145" i="4" s="1"/>
  <c r="G145" i="4" s="1"/>
  <c r="B8" i="39"/>
  <c r="D142" i="4" s="1"/>
  <c r="G142" i="4" s="1"/>
  <c r="B6" i="39"/>
  <c r="D140" i="4" s="1"/>
  <c r="G140" i="4" s="1"/>
  <c r="B5" i="39"/>
  <c r="G147" i="4"/>
  <c r="B15" i="19"/>
  <c r="D94" i="4" s="1"/>
  <c r="G94" i="4" s="1"/>
  <c r="B6" i="19"/>
  <c r="D85" i="4" s="1"/>
  <c r="G85" i="4" s="1"/>
  <c r="B7" i="19"/>
  <c r="D86" i="4" s="1"/>
  <c r="B8" i="19"/>
  <c r="D87" i="4" s="1"/>
  <c r="G87" i="4" s="1"/>
  <c r="B9" i="19"/>
  <c r="D88" i="4" s="1"/>
  <c r="G88" i="4" s="1"/>
  <c r="B10" i="19"/>
  <c r="D89" i="4" s="1"/>
  <c r="G89" i="4" s="1"/>
  <c r="B11" i="19"/>
  <c r="D90" i="4" s="1"/>
  <c r="G90" i="4" s="1"/>
  <c r="B12" i="19"/>
  <c r="D91" i="4" s="1"/>
  <c r="G91" i="4" s="1"/>
  <c r="B13" i="19"/>
  <c r="D92" i="4" s="1"/>
  <c r="G92" i="4" s="1"/>
  <c r="B5" i="19"/>
  <c r="G86" i="4"/>
  <c r="B11" i="14"/>
  <c r="D47" i="4" s="1"/>
  <c r="G47" i="4" s="1"/>
  <c r="B10" i="14"/>
  <c r="D46" i="4" s="1"/>
  <c r="G46" i="4" s="1"/>
  <c r="B9" i="14"/>
  <c r="D45" i="4" s="1"/>
  <c r="G45" i="4" s="1"/>
  <c r="B8" i="14"/>
  <c r="D44" i="4" s="1"/>
  <c r="G44" i="4" s="1"/>
  <c r="B14" i="14"/>
  <c r="D50" i="4" s="1"/>
  <c r="G50" i="4" s="1"/>
  <c r="B7" i="14"/>
  <c r="D43" i="4" s="1"/>
  <c r="G43" i="4" s="1"/>
  <c r="B6" i="14"/>
  <c r="D42" i="4" s="1"/>
  <c r="B13" i="14"/>
  <c r="D49" i="4" s="1"/>
  <c r="G49" i="4" s="1"/>
  <c r="B5" i="14"/>
  <c r="G48" i="4"/>
  <c r="G42" i="4"/>
  <c r="B12" i="27"/>
  <c r="D18" i="4" s="1"/>
  <c r="G18" i="4" s="1"/>
  <c r="B11" i="27"/>
  <c r="D17" i="4" s="1"/>
  <c r="G17" i="4" s="1"/>
  <c r="B6" i="27"/>
  <c r="D12" i="4" s="1"/>
  <c r="G12" i="4" s="1"/>
  <c r="B10" i="27"/>
  <c r="D16" i="4" s="1"/>
  <c r="G16" i="4" s="1"/>
  <c r="B5" i="27"/>
  <c r="B9" i="27"/>
  <c r="D15" i="4" s="1"/>
  <c r="G15" i="4" s="1"/>
  <c r="B8" i="27"/>
  <c r="D14" i="4" s="1"/>
  <c r="G14" i="4" s="1"/>
  <c r="K42" i="4"/>
  <c r="M40" i="4" s="1"/>
  <c r="A18" i="30" l="1"/>
  <c r="D97" i="4"/>
  <c r="G97" i="4" s="1"/>
  <c r="A20" i="31"/>
  <c r="A20" i="38"/>
  <c r="D130" i="4"/>
  <c r="G130" i="4" s="1"/>
  <c r="D151" i="4"/>
  <c r="G151" i="4" s="1"/>
  <c r="A20" i="35"/>
  <c r="A21" i="18"/>
  <c r="A19" i="34"/>
  <c r="D122" i="4"/>
  <c r="G122" i="4" s="1"/>
  <c r="A20" i="17"/>
  <c r="D65" i="4"/>
  <c r="G65" i="4" s="1"/>
  <c r="D2" i="4"/>
  <c r="G2" i="4" s="1"/>
  <c r="A20" i="11"/>
  <c r="A22" i="12"/>
  <c r="H17" i="2"/>
  <c r="D53" i="4"/>
  <c r="G53" i="4" s="1"/>
  <c r="A23" i="33"/>
  <c r="A20" i="7"/>
  <c r="A20" i="28"/>
  <c r="D104" i="4"/>
  <c r="G104" i="4" s="1"/>
  <c r="D169" i="4"/>
  <c r="G169" i="4" s="1"/>
  <c r="A22" i="36"/>
  <c r="A20" i="37"/>
  <c r="D139" i="4"/>
  <c r="G139" i="4" s="1"/>
  <c r="A23" i="39"/>
  <c r="A24" i="19"/>
  <c r="D84" i="4"/>
  <c r="G84" i="4" s="1"/>
  <c r="A23" i="14"/>
  <c r="D41" i="4"/>
  <c r="G41" i="4" s="1"/>
  <c r="D11" i="4"/>
  <c r="G11" i="4" s="1"/>
  <c r="A21" i="27"/>
  <c r="M39" i="4"/>
  <c r="M28" i="4"/>
  <c r="M32" i="4"/>
  <c r="M41" i="4"/>
  <c r="M35" i="4"/>
  <c r="M29" i="4"/>
  <c r="M36" i="4"/>
  <c r="M30" i="4"/>
  <c r="M38" i="4"/>
  <c r="M34" i="4"/>
  <c r="M31" i="4"/>
  <c r="M33" i="4"/>
  <c r="M42" i="4" l="1"/>
  <c r="J23" i="4" l="1"/>
  <c r="B26" i="3" s="1"/>
  <c r="D26" i="3" s="1"/>
  <c r="J17" i="4"/>
  <c r="B20" i="3" s="1"/>
  <c r="D20" i="3" s="1"/>
  <c r="J11" i="4"/>
  <c r="B14" i="3" s="1"/>
  <c r="D14" i="3" s="1"/>
  <c r="J12" i="4"/>
  <c r="B15" i="3" s="1"/>
  <c r="D15" i="3" s="1"/>
  <c r="J5" i="4"/>
  <c r="B8" i="3" s="1"/>
  <c r="D8" i="3" s="1"/>
  <c r="J4" i="4"/>
  <c r="B7" i="3" s="1"/>
  <c r="D7" i="3" s="1"/>
  <c r="J24" i="4"/>
  <c r="B27" i="3" s="1"/>
  <c r="D27" i="3" s="1"/>
  <c r="J13" i="4"/>
  <c r="B16" i="3" s="1"/>
  <c r="D16" i="3" s="1"/>
  <c r="J25" i="4"/>
  <c r="B28" i="3" s="1"/>
  <c r="D28" i="3" s="1"/>
  <c r="J8" i="4"/>
  <c r="B11" i="3" s="1"/>
  <c r="D11" i="3" s="1"/>
  <c r="J19" i="4"/>
  <c r="B22" i="3" s="1"/>
  <c r="D22" i="3" s="1"/>
  <c r="J7" i="4"/>
  <c r="B10" i="3" s="1"/>
  <c r="D10" i="3" s="1"/>
  <c r="J16" i="4"/>
  <c r="B19" i="3" s="1"/>
  <c r="D19" i="3" s="1"/>
  <c r="J21" i="4"/>
  <c r="B24" i="3" s="1"/>
  <c r="D24" i="3" s="1"/>
  <c r="J9" i="4"/>
  <c r="B12" i="3" s="1"/>
  <c r="D12" i="3" s="1"/>
  <c r="J20" i="4"/>
  <c r="B23" i="3" s="1"/>
  <c r="D23" i="3" s="1"/>
  <c r="J3" i="4"/>
  <c r="B6" i="3" s="1"/>
  <c r="D6" i="3" s="1"/>
  <c r="J15" i="4"/>
  <c r="B18" i="3" s="1"/>
  <c r="D18" i="3" s="1"/>
  <c r="D5" i="3" l="1"/>
  <c r="B31" i="3" s="1"/>
  <c r="B5" i="40" s="1"/>
  <c r="C5" i="40" s="1"/>
  <c r="D17" i="3"/>
  <c r="B34" i="3" s="1"/>
  <c r="B8" i="40" s="1"/>
  <c r="C8" i="40" s="1"/>
  <c r="D9" i="3"/>
  <c r="B32" i="3" s="1"/>
  <c r="B6" i="40" s="1"/>
  <c r="C6" i="40" s="1"/>
  <c r="D21" i="3"/>
  <c r="B35" i="3" s="1"/>
  <c r="B9" i="40" s="1"/>
  <c r="C9" i="40" s="1"/>
  <c r="D13" i="3"/>
  <c r="B33" i="3" s="1"/>
  <c r="B7" i="40" s="1"/>
  <c r="C7" i="40" s="1"/>
  <c r="D25" i="3"/>
  <c r="B36" i="3" s="1"/>
  <c r="B10" i="40" s="1"/>
  <c r="C10" i="40" s="1"/>
</calcChain>
</file>

<file path=xl/sharedStrings.xml><?xml version="1.0" encoding="utf-8"?>
<sst xmlns="http://schemas.openxmlformats.org/spreadsheetml/2006/main" count="963" uniqueCount="272">
  <si>
    <t>Dashboard</t>
  </si>
  <si>
    <t>Likert Scale</t>
  </si>
  <si>
    <t>Boolean Scale</t>
  </si>
  <si>
    <t>No</t>
  </si>
  <si>
    <t>Yes</t>
  </si>
  <si>
    <t>Sub domain</t>
  </si>
  <si>
    <t>Check</t>
  </si>
  <si>
    <t>Beschreibung</t>
  </si>
  <si>
    <t>Anleitung</t>
  </si>
  <si>
    <t>Frage zutreffend? (Ja / Nein)</t>
  </si>
  <si>
    <t>Ja</t>
  </si>
  <si>
    <t>Likert Skala</t>
  </si>
  <si>
    <t>Weder Zustimmung noch Ablehnung (Neutral)</t>
  </si>
  <si>
    <t>Stimme zu</t>
  </si>
  <si>
    <t>Stimme voll zu</t>
  </si>
  <si>
    <t>Boolean Skala</t>
  </si>
  <si>
    <t>Nein</t>
  </si>
  <si>
    <t>Anzahl zutreffender Fragen:</t>
  </si>
  <si>
    <t>Gewichtung pro Frage:</t>
  </si>
  <si>
    <t>Prüfsumme</t>
  </si>
  <si>
    <t>Gewichtung</t>
  </si>
  <si>
    <t>Gewichtung per Frage:</t>
  </si>
  <si>
    <t>Antwort</t>
  </si>
  <si>
    <t>Offene Punkte / Bemerkungen</t>
  </si>
  <si>
    <t>Stimme überhaupt nicht zu</t>
  </si>
  <si>
    <t>Stimme nicht zu</t>
  </si>
  <si>
    <t>Personal und Kompetenzen</t>
  </si>
  <si>
    <t>Organisation und Governance</t>
  </si>
  <si>
    <t>Ziele und Visionen</t>
  </si>
  <si>
    <t>Strategische Projekte</t>
  </si>
  <si>
    <t>Cloud Services</t>
  </si>
  <si>
    <t>IT Service Management</t>
  </si>
  <si>
    <t>IT Asset Management</t>
  </si>
  <si>
    <t>IT Infrastruktur</t>
  </si>
  <si>
    <t>IT Lifecycle</t>
  </si>
  <si>
    <t>IT Security</t>
  </si>
  <si>
    <t>Personalentwicklung</t>
  </si>
  <si>
    <t>Wissensmanagement</t>
  </si>
  <si>
    <t>Kommunikation</t>
  </si>
  <si>
    <t>Kontrollsysteme</t>
  </si>
  <si>
    <t>Lieferanten und Dienstleister</t>
  </si>
  <si>
    <t>Verträge</t>
  </si>
  <si>
    <t>Cloud Kompetenzen</t>
  </si>
  <si>
    <t>Cloud Konzepte</t>
  </si>
  <si>
    <t>Sourcing</t>
  </si>
  <si>
    <t>IT Services und Prozesse</t>
  </si>
  <si>
    <t>Cloud Technologien</t>
  </si>
  <si>
    <t>IT Asset Managenment</t>
  </si>
  <si>
    <t>IT Lifefycle</t>
  </si>
  <si>
    <t>Aufbau- und Ablauforganisation</t>
  </si>
  <si>
    <t>Outsourcing</t>
  </si>
  <si>
    <t>IT Strategie und Planung</t>
  </si>
  <si>
    <t>Reifegrad IT Strategie</t>
  </si>
  <si>
    <t>Reifegrad IT Services und Prozesse</t>
  </si>
  <si>
    <t>Reifegrad IT Infrastruktur</t>
  </si>
  <si>
    <t>Reifegrad Personal und Kompetenzen</t>
  </si>
  <si>
    <t>Reifegrad Organisation und Governance</t>
  </si>
  <si>
    <t>Reifegrad Sourcing</t>
  </si>
  <si>
    <t>Reifegrad Gesamt</t>
  </si>
  <si>
    <t>Assessment Rating</t>
  </si>
  <si>
    <t>Exchange</t>
  </si>
  <si>
    <t>SharePoint</t>
  </si>
  <si>
    <t>Es werden bereits Microsoft Azure Services verwendet.</t>
  </si>
  <si>
    <t>Es werden bereits Microsoft Office 365 Services verwendet.</t>
  </si>
  <si>
    <t>Alle Aktivitäten, die mit der Vorbereitung auf die Verwendung von Cloud Services verbunden sind, werden zentral geplant und koordiniert.</t>
  </si>
  <si>
    <t>Projektrisiken oder Rahmenbedingungen, die der Erreichung der geplanten Ziele entgegenstehen oder die Umsetzung von Cloud Services verhindern, werden aktiv verfolgt. Sofern möglich werden Maßnahmen zum Risikomanagement ergriffen oder Rahmenbedingungen angepasst.</t>
  </si>
  <si>
    <t>Allen Projektbeteiligten ist ihre jeweilige Verantwortung in den (Teil-)Projekten bekannt, der Einsatz von Personal ist für die (Teil-)Projekten fest eingeplant, die Aufgaben sind klar verteilt, und Termine für die Vorlage / Abstimmung von Arbeitsergebnissen wurden verbindlich vereinbart.</t>
  </si>
  <si>
    <t>Das Unternehmen plant die Einführung neuer Arbeitsplatz- / Arbeitszeitmodelle bzw. befindet sich in der Umsetzung entsprechender Konzepte, z.B. 
- Heimarbeitsplätze, 
- Mobile Arbeitsplätze, 
- Bring Your Own Device.</t>
  </si>
  <si>
    <t>Wesentliche Bestandteile der Dokumentation der verfolgten Cloud Konzepte sind:
- ein Zielbild (Vision / Scope) und eine Roadmap (Projektplan mit Meilensteinen) zur Erreichung der definierten Ziele,
- eine Bewertung bekannter Projektrisiken bzw. kritischer Rahmenbedingungen z.B. Heterogenität der IT Infrastruktur, Kompetenzdefizite, Datenschutzanforderungen,
- eine Gesamtübersicht aller (Teil-)Projekte mit ihren jeweiligen zeitlichen und fachlichen Abhängigkeiten.</t>
  </si>
  <si>
    <t>Die angebotenen bzw. obligatorischen Schulungen sind zielgruppenspezifisch und umfassen u.a. 
- die Nutzung von On Premise Softwarekomponenten, z.B. Office 365 Pro Plus, 
- den Zugriff auf Online Dienste, z.B. Office Online,
- die Verbindung von On Premise Software mit Online Diensten, z.B. OneDrive.</t>
  </si>
  <si>
    <r>
      <t>Änderungen in den Kundenbedürfnissen, stärkerer Wettbewerbsdruck und die Verfügbarkeit neuer Technologien haben in den vergangenen Jahren Anpassungen der Unternehmensstrategie nach sich gezogen. Zur Umsatz- und Ertragssteigerung verfolgt das Unternehmen mittlerweile eine digitale Strategie und vollzieht den Wandel von analogen zu digitalen Geschäftsmodellen bzw. hat diesen bereits vollzogen</t>
    </r>
    <r>
      <rPr>
        <sz val="10"/>
        <color theme="1"/>
        <rFont val="Calibri"/>
        <family val="2"/>
        <scheme val="minor"/>
      </rPr>
      <t>.</t>
    </r>
  </si>
  <si>
    <t>Die Kriterienkataloge enthalten u.a. Vorgaben für
- die Bewertung von Rahmendaten (z.B. Vertragslaufzeit, Vertragsparteien, Vertragsvolumen)
- die Bewertung möglicher Risiken (z.B. Dokumentationspflichten, Kündigungsregeln)
- die Bewertung zu vereinbarender Leistungen (z.B. Qualität, Kosten)
- die Bewertung der Dienstleister (z.B. Größe, Standorte, Referenzprojekte)</t>
  </si>
  <si>
    <t>Die Steuerung umfasst u.a.
- Abstimmungen zur Strategie der Unternehmen,
- Planung und Koordination gemeinsamer Projekte,
- Abstimmung einer Service Road Map,
- Eskalation bei Schlechtleistungen.</t>
  </si>
  <si>
    <t>Die Dokumentation wird im Rahmen von Projektreviews regelmäßig an aktuelle Entwicklungen, z.B. neue Cloud Service Provider, neue Cloud Services oder Änderungen bekannter Cloud Services, angepasst bzw. sinnvoll erweitert.</t>
  </si>
  <si>
    <t>Es existiert ein verbindlicher Geschäftsverteilungsplan im Unternehmen, der alle Organisationseinheiten einschließt.</t>
  </si>
  <si>
    <t>Wesentliche Geschäftsprozesse sind in Form von Prozessanleitungen, Prozesslandkarten, Flussdiagrammen etc. beschrieben.</t>
  </si>
  <si>
    <t>Der Geschäftsverteilungsplan wird mindestens jährlich überprüft und im Bedarfsfall aktualisiert.</t>
  </si>
  <si>
    <t>Die Einbeziehung der Organisationseinheiten / Stakeholder in das Vertragsmanagement wird zentral koordiniert.</t>
  </si>
  <si>
    <t>Für Mitarbeiter in der IT Organisation existieren dedizierte Trainingspläne und Qualifizierungskonzepte.</t>
  </si>
  <si>
    <t>Entsprechend dieser Pläne und Konzepte wird sichergestellt, dass die Mitarbeiter über die für ihren jeweiligen Verantwortungsbereich erforderlichen Kompetenzen verfügen und regelmäßig mit relevanten technischen Entwicklungen vertraut gemacht werden.</t>
  </si>
  <si>
    <t>Die Einhaltung des Geschäftsverteilungsplans und der Geschäftsprozesse wird systematisch durch eine objektive interne Kontrollstelle, z.B. Interne Revision, und / oder externe Prüfer, z.B. Wirtschaftsprüfungsgesellschaft, bewertet und Korrekturmaßnahmen zur Verbesserung der Effektivität der Unternehmensführung abgeleitet.</t>
  </si>
  <si>
    <t xml:space="preserve">Unternehmerische Risiken werden systematisch identifiziert, analysiert und bewertet. </t>
  </si>
  <si>
    <t>Für festgestellte Abweichungen von den gesetzten Anforderungen werden entsprechend ihrer jeweiligen Kritikalität für den produktiven Einsatz Korrekturmaßnahmen abgeleitet bzw. Konzepte zur Risikokontrolle entwickelt und umgesetzt.</t>
  </si>
  <si>
    <t xml:space="preserve">Die mit Hilfe der Tools aufgenommenen und verwalteten Asset und User Daten werden über definierte Intervalle automatisch aktualisiert. </t>
  </si>
  <si>
    <t>Die Vollständigkeit und Richtigkeit der Asset und User Daten wird regelmäßig, mindestens jedoch jährlich überprüft, u.a. durch
- eine stichprobenweise manuelle Inventur von Hardware und Software Assets,
- einen Abgleich verschiedener Systemen für die Userverwaltung, z.B. Active Directory.</t>
  </si>
  <si>
    <t>Fragen</t>
  </si>
  <si>
    <t>Skype for Business</t>
  </si>
  <si>
    <t>Dynamics</t>
  </si>
  <si>
    <t>Office Online</t>
  </si>
  <si>
    <t>OneDrive</t>
  </si>
  <si>
    <t>Yammer</t>
  </si>
  <si>
    <t>Planner</t>
  </si>
  <si>
    <t>Security &amp; Compliance</t>
  </si>
  <si>
    <t>Virtual machines</t>
  </si>
  <si>
    <t>App Services</t>
  </si>
  <si>
    <t>Azure Active Directory</t>
  </si>
  <si>
    <t>Die für das Unternehmen entsprechend der Cloud Strategie geeigneten bzw. vom Unternehmen verfolgten Cloud Konzepte sind in Form von Projektsteckbriefen vollständig dokumentiert.</t>
  </si>
  <si>
    <t>Um die strategischen Ziele im Alltag des Unternehmens zu verankern, sind wesentliche Vorgaben aus der Cloud Strategie in einer Balanced Score Card operationalisiert. Die Umsetzung der Balanced Score Card ist maßgeblich für die Beurteilung der individuellen Zielerreichung von IT Führungskräften und IT Mitarbeitern.</t>
  </si>
  <si>
    <t>Für die Anmeldung berechtigter mobiler User am Unternehmensnetzwerk oder für den Zugriff auf Cloud Services wird eine Zwei-Wege Authentifizierung verwendet.</t>
  </si>
  <si>
    <t>Das Unternehmen kennt und befolgt alle gesetzlichen und regulatorischen Anforderungen bezüglich Datenschutz und Datensicherheit. Alle Geschäftsprozesse unterliegen einer jährlichen Überprüfung, um Datensicherheit zu gewährleisten.</t>
  </si>
  <si>
    <t>IT Strategie - Cloud Konzepte</t>
  </si>
  <si>
    <t>IT Strategie - Ziele und Visionen</t>
  </si>
  <si>
    <t>IT Strategie - Strategische Projekte</t>
  </si>
  <si>
    <t>IT Services und Prozesse - Cloud Services</t>
  </si>
  <si>
    <t>IT Services und Prozesse - IT Service Management</t>
  </si>
  <si>
    <t>IT Services und Prozesse - IT Asset Management</t>
  </si>
  <si>
    <t>IT Infrastruktur - Cloud Technologien</t>
  </si>
  <si>
    <t>Personal und Kompetenzen - Cloud Kompetenzen</t>
  </si>
  <si>
    <t>Personal und Kompetenzen - Personalentwicklung</t>
  </si>
  <si>
    <t>Personal und Kompetenzen - Wissensmanagement</t>
  </si>
  <si>
    <t>Organisation und Governance - Aufbau- und Ablauforganisation</t>
  </si>
  <si>
    <t>Organisation und Governance - Kommunikation</t>
  </si>
  <si>
    <t>Organisation und Governance - Kontrollsysteme</t>
  </si>
  <si>
    <t>Sourcing - Outsourcing</t>
  </si>
  <si>
    <t>Sourcing - Lieferanten und Dienstleister</t>
  </si>
  <si>
    <t>Sourcing - Verträge</t>
  </si>
  <si>
    <t>Werte</t>
  </si>
  <si>
    <t>Ergebnis</t>
  </si>
  <si>
    <t>Gesamt</t>
  </si>
  <si>
    <t>gewichtet</t>
  </si>
  <si>
    <t>Nummer</t>
  </si>
  <si>
    <t>Gewicht</t>
  </si>
  <si>
    <t>Antwortwert</t>
  </si>
  <si>
    <t>Antwort Score (entsprechend Gewichtung)</t>
  </si>
  <si>
    <t>Fehlermeldungen</t>
  </si>
  <si>
    <t>Für die Messung des Erfolgs aus der Umsetzung von Cloud Konzepten wurden Erfolgskriterien definiert, z.B. 
- Reduzierung der IT Betriebskosten,
- Verbesserung der Verfügbarkeit von IT Systemen und IT Services,
- Verkürzung der Time-to-Market für neue Dienstleistungen und Produkte.</t>
  </si>
  <si>
    <t>Der Erwerb international anerkannter personenbezogener Zertifizierungen im Cloud Umfeld wird vom Unternehmen unterstützt, z. B. 
- Technology Associate (Microsoft), 
- Certified Solutions Associate for Cloud Platform (Microsoft),
- Cloud Solution Professional (Cloud School), 
- Certified Cloud Security Professional ((ISC)²).</t>
  </si>
  <si>
    <t>Die IT-Strategie leitet sich aus der Unternehmens-Strategie ab und ist mit der Geschäftsführung abgestimmt. Sie berücksichtigt Geschäftswachstums-Chancen, liefert Konzepte für IT-Services und Zielgrößen für den IT-Betrieb und zeigt darüber hinaus den Umfang zukünftigen Handelns auf.</t>
  </si>
  <si>
    <t xml:space="preserve">Strategische Ziele der IT-Organisation sind die Entwicklung neuer IT-Services bzw. die Anpassung und Optimierung etablierter IT-Services, um digitale Geschäftsmodelle grundsätzlich zu ermöglichen oder deren Umsetzung technologisch zu unterstützen. </t>
  </si>
  <si>
    <t>Das Unternehmen durchläuft aktuell eine Re-Organisation - auch innerhalb der IT bzw. das Unternehmen plant eine Re-Organisation, z.B. 
- im Rahmen einer Internationalisierungs-Initiative,
- im Rahmen eines Unternehmenskaufs oder -verkaufs, 
- im Rahmen eines Outsourcings.</t>
  </si>
  <si>
    <t>Es werden bereits in größerem Umfang Hosting-Dienstleistungen von IT-Service-Providern genutzt bzw. das Unternehmen befindet sich aktuell in einem Projekt zum Outsourcing von IT-Services oder in einem Projekt zum Wechsel des IT-Service-Providers, z.B. 
- für Datacenter-Betrieb (Housing / Co-Location / Hosting),
- Netzwerkservices und Telekommunikation,
- Storage,
- IT-Security.</t>
  </si>
  <si>
    <t>Aus Kostenerwägungen, zur Reduzierung von IT-Betriebsrisiken, auf Grund von Anforderungen an die Sicherheit von IT-Systemen etc. werden aktuell verschiedene Initiativen zur Konsolidierung und Standardisierung der IT verfolgt, u.a.
- Optimierung der Domänen-Architektur und Harmonisierung des / der Active Directories,
- Umsetzung eines User-Identity-Managements mit Single Sign On,
- Virtualisierung von Client- und Serverbetriebssystemumgebungen,
- Einführung von Verschlüsselungstechnologien,
- Verwendung von eDiscovery Lösungen.</t>
  </si>
  <si>
    <t>Bestimmt durch den IT-Lifecycle oder zur Sicherstellung der Konnektivität mit Kunden und Lieferanten durchläuft bzw. plant das Unternehmen größere Migrations- / Transitionsprojekte, z.B. 
- Roll-Out eines neuen Client- oder Serverbetriebssystems, 
- Roll-Out neuer Client- oder Serverhardware, 
- Umzug des Rechenzentrums.</t>
  </si>
  <si>
    <t>Als Teil von IT-Migrations- / Transitionsprojekte nimmt das Unternehmen Anpassungen im IT-Service- Management vor bzw. plant solche Anpassungen, insb. in den Bereichen
- Configuration Management, 
- Service Testing &amp; Validation, 
- Release &amp; Deployment Management, 
- Change Management.</t>
  </si>
  <si>
    <t>Im Unternehmen ist ein IT-Servicemanagement nach ITIL Vorgaben bzw. nach Vorgaben der ISO/IEC 20000 implementiert.</t>
  </si>
  <si>
    <t>Jedes IT-System und jeder IT-Service (einschließlich Cloud Services) durchläuft vor der Produktivsetzung einen umfangreichen Test- und Freigabeprozess, z.B. 
- Funktionsprüfung,
- Verfügbarkeitsprüfung,
- Kompatibilitätsprüfung,
- Sicherheitsprüfung (Schutzbedarffeststellung),
- Prüfung auf Barrierefreiheit.</t>
  </si>
  <si>
    <t>Kein IT-System und kein IT-Service (einschließlich Cloud Services) wird ohne entsprechende IT-Dokumentation in die IT-Infrastruktur des Unternehmens integriert, modifiziert, ersetzt oder ausgemustert.</t>
  </si>
  <si>
    <t>Es existiert eine Configuration Management Database (CMDB), in der die Konfiguration und der Status aller IT-Systeme dokumentiert ist.</t>
  </si>
  <si>
    <t>Alle IT-Systeme werden mit geeigneten Tools, z.B. Microsoft SCCM, überwacht, um alle Konfigurationsparameter im Laufe ihrer Verwendung aktuell zu halten. Die für die Überwachung der IT-Systeme eingesetzten Tools liefern im Wesentlichen die Datenbasis für die CMDB.</t>
  </si>
  <si>
    <t xml:space="preserve">Als Bestandteil einer jährlichen Überprüfung wird die Existenz von IT-Systemen und die Korrektheit der Aufzeichnungen in der CMDB verifiziert. </t>
  </si>
  <si>
    <t>Anhand der vereinbarten Zielgrößen für den IT-Betrieb werden Service Level für IT-Systemen und IT- Services (einschließlich Cloud Services) abgeleitet.</t>
  </si>
  <si>
    <t>Die Einhaltung der Service Level wird pro IT-System und IT-Service (einschließlich Cloud Services) kontinuierlich überwacht und bewertet.</t>
  </si>
  <si>
    <t>Es existiert ein Release und Deployment Plan, der geplante Änderungen (Major Changes), z.B. Roll-Outs, Systemmigrationen und Updates innerhalb der nächsten 6 Monate im Detail erfasst sowie für weitere 6 Monate skizziert. Für Updates gibt es ein mit dem jeweiligen Prozesseigner abgestimmtes Updatezeitfenster.</t>
  </si>
  <si>
    <t xml:space="preserve">IT-(Software) Asset Management wird vom Management als unternehmensweite Aufgabe verstanden und in der Umsetzung uneingeschränkt unterstützt. </t>
  </si>
  <si>
    <t>Das IT-Asset-Management wird unternehmensweit einheitlich umgesetzt, d.h. standardisierte 
- Prozesse und Aufgaben,
- Rollen und Verantwortlichkeiten,
- Tools und Templates.</t>
  </si>
  <si>
    <t>Das IT-Asset-Management ist zentral organisiert und bedient sich im Bedarfsfall dezentraler Rollen bei der Umsetzung der Prozesse.</t>
  </si>
  <si>
    <t>Mit dem Einsatz spezialisierter Tools sind wesentliche Voraussetzungen für ein effektives und effizientes IT-Asset-Management gegeben, z.B. 
- Tools zur Erkennung und Inventarisierung der im Unternehmen eingesetzten IT-Systeme,
- Tools zur Identifizierung von Usern und Userberechtigungen,
- Tools zur Nutzungsvermessung von IT-Systemen und IT-Services (einschließlich Cloud Services),
- Tools zur Verwaltung und Analyse von Hard- und Software Assets (CMDB),
- Tools zur Verwaltung und Analyse von Vertrags- und Lizenzinformationen,
- Tools zur Compliance Analyse.</t>
  </si>
  <si>
    <t>Die toolbasierte Erkennung und Inventarisierung von Hardware und Software liegt bei mind. 90% aller im Unternehmen eingesetzten IT-Systeme, d.h.
- PCs und Notebooks
- Thin Clients,
- Mobile Devices,
- Server,
- Netzwerkkomponenten.
Die toolbasierte Analyse von Userdaten liegt ebenfalls bei mind. 90%.</t>
  </si>
  <si>
    <t>Neben anderen Daten werden von Hardware Assets (physische und virtuelle Betriebssystemumgebungen) mind. folgende Informationen erfasst:
- Hersteller,
- Produktbezeichner,
- Betriebszustand (physisch / virtuell)
- CPU-Typ,
- Anzahl CPUs / Cores.</t>
  </si>
  <si>
    <t>Neben anderen Daten werden von Software-Assets mind. folgende Informationen erfasst:
- Hersteller,
- Produktbezeichner,
- Version / Release,
- Bezug zu physischer / virtueller Betriebssystemumgebung).</t>
  </si>
  <si>
    <t>Es wurde eine zentrale Stelle bzw. eine Organisationseinheit geschaffen, die Aktivitäten und Schlüsselaufgaben im Vertragsmanagement unternehmensweit abstimmt und Verträge sowie damit verbundene Dokumenten verwaltet.</t>
  </si>
  <si>
    <t>Das Vertragsmanagement hat Regelungen etabliert, um ein gemeinsames, abgestimmtes und zielorientiertes Vorgehen von der IT-Organisation, dem (IT-)Einkauf und der Rechtsabteilung bei der Vertragsgestaltung sicherzustellen.</t>
  </si>
  <si>
    <t>Die Aufgaben im Vertragsmanagement sind klar definiert und entsprechend auf die Organisationseinheiten des Unternehmens / Stakeholder verteilt, z.B. 
- Planung von Vertragsverhandlungen (Einkauf), 
- Abstimmung notwendiger vertraglicher Regelungen (Einkauf + IT + Rechtsabteilung), 
- Verhandlung der Verträge (Einkauf + IT + Rechtsabteilung), 
- Dokumentation und Prüfung der Verträge (Einkauf + IT + Rechtsabteilung + Lizenzmanagement), 
- Kommunikation vertraglicher Regelungen im Unternehmen (Einkauf + IT + Lizenzmanagement),
- Controlling / Monitoring der Verträge (IT-Controlling + Lizenzmanagement).</t>
  </si>
  <si>
    <t>Bei der Implementierung von IT-Systemen und IT-Services (einschließlich Cloud Services) werden ebenfalls Methoden des Risikomanagements eingesetzt, um der Komplexität und der damit verbundenen Fehleranfälligkeit von IT-Lösungen zu begegnen.</t>
  </si>
  <si>
    <t>Die Prüfungen erfolgen anhand eines vorgegebenen Anforderungskatalogs, der regelmäßig von der IT- Organisation überprüft und im Bedarfsfall aktualisiert und freigegeben wird.</t>
  </si>
  <si>
    <t>Empfänger der Information sind u.a.
- Prozesseigner, 
- Projektteams, 
- Lenkungsausschüsse, 
- Betriebsrat, 
- IT-Sicherheitsbeauftragter, 
- Datenschutzbeauftragter.</t>
  </si>
  <si>
    <t xml:space="preserve">Alle Stakeholder können sich über das Intranet oder andere im Unternehmen genutzte Medien über laufende IT-Projekte informieren. </t>
  </si>
  <si>
    <t>Die über IT-Projekte zur Verfügung gestellten Informationen umfassen:
- Situationsbeschreibung,
- Projektziel,
- Projektlaufzeit, 
- Projektleitung.</t>
  </si>
  <si>
    <t>Im Geschäftsverteilungsplan werden nach bestimmten Grundsätzen relevante Aufgabengebiete mit den jeweils verantwortlichen Rollen und Aufgaben beschrieben und auf Organisationseinheiten verteilt. Darin enthalten sind u.a. Beschreibungen zu den Zuständigkeiten (Prozesseigner) für 
- die IT-Strategie, 
- den IT-Einkauf, 
- den IT-Betrieb, 
- das IT-Controlling und 
- die IT-Sicherheit.</t>
  </si>
  <si>
    <r>
      <t xml:space="preserve">Das Management des Unternehmens ist über aktuelle Entwicklungen im IT-Umfeld grundlegend informiert, z.B. 
- Cloud Services, 
- Virtualisierung,
- Digitalisierung, 
- Internet of Things,
- Big Data,
</t>
    </r>
    <r>
      <rPr>
        <i/>
        <sz val="10"/>
        <rFont val="Calibri"/>
        <family val="2"/>
        <scheme val="minor"/>
      </rPr>
      <t>- Artificial Intelligence,
- Blockchain,
- Mesh App and Service Architecture,
- Adaptive Security Architecture etc.</t>
    </r>
    <r>
      <rPr>
        <sz val="10"/>
        <rFont val="Calibri"/>
        <family val="2"/>
        <scheme val="minor"/>
      </rPr>
      <t xml:space="preserve">
Zudem versteht das Management die Implikationen dieser Entwicklungen auf die Produktivität des Unternehmens, das Leistungsangebot, die Wettbewerbsfähigkeit etc.</t>
    </r>
  </si>
  <si>
    <t>Die Mitarbeiter in der IT verfügen über umfangreiche Kenntnisse der aktuellen Entwicklungen und Trends im IT-Umfeld und sind in der Lage, dieses Wissen in ihrem jeweiligen Verantwortungsbereich umzusetzen, z.B. 
- bei der Planung von Prozessen und Abläufen, 
- bei der Steuerung von IT-Systemen, 
- bei der Durchführung von IT-Projekten.</t>
  </si>
  <si>
    <t>IT-Infrastruktur - IT-Lifecycle</t>
  </si>
  <si>
    <t xml:space="preserve">Alle IT-Systeme, d.h. Client Endgeräte und Server, sind mind. in einer n-2 Betriebssystemversion, aktuell z.B. Windows 7 oder Windows Server 2012 (im Hersteller Support), mit allen erforderlichen Sicherheitsupdates ausgestattet. </t>
  </si>
  <si>
    <t>Die auf den IT-Systemen installierten Softwareprodukte sind mind. in einem n-2 Versionsstand, aktuell z.B. SQL Server 2012, Exchange Server 2010 (im Hersteller Support) mit allen erforderlichen Sicherheitsupdates installiert.</t>
  </si>
  <si>
    <t>Das Unternehmen betreibt ein aktives Software Portfolio Management, um für alle im Einsatz befindlichen Softwareprodukte eine Road Map abzuleiten, 
- Vereinheitlichung der eingesetzten IT-Lösungen (ein Hersteller), z.B. Datenbanken, Virtualisierung,
- Standardisierung der eingesetzten Edition und Versionen eines Softwareprodukts, z.B. Office,
- Transformation und Vernetzung von IT-Services, z.B. Migration von Exchange und SharePoint zu Office 365.</t>
  </si>
  <si>
    <t>Im Rahmen des IT-Lifecycle-Managements werden nicht mehr benötigte IT-Systeme abgebaut und nicht mehr erforderliche Software deinstalliert.</t>
  </si>
  <si>
    <t xml:space="preserve">Alle Qualifikationsmaßnahmen sind mit den Sozialpartnern im Unternehmen abgestimmt. </t>
  </si>
  <si>
    <t>In Bezug auf die Datenschutzgrundverordnung werden Trainings durchgeführt, die die Neuerungen bzw. Änderungen im Unternehmen bekannt machen und die jeweiligen Fachbereiche über die notwendigen Schritte informiert, die zur Anpassung an die entsprechenden Richtlinien notwendig sind.</t>
  </si>
  <si>
    <t>Die für die Bewertung von Cloud Services maßgeblichen Datenschutzrichtlinien liegen den jeweiligen Fachbereichen vor.</t>
  </si>
  <si>
    <t>Es gibt einen Maßnahmenkatalog, der den Datenschutzbeauftragten in die Lage versetzt, die aktuell gültigen Datenschutzbestimmungen im Unternehmen zu kontrollieren und durchzusetzen.</t>
  </si>
  <si>
    <t>Darüber hinaus wurde oder wird eine Risikoanalyse zur Bewertung und Priorisierung der erforderlichen Maßnahmen zur Einhaltung der Bestimmungen der Datenschutzgrundverordnung (DGSVO) durchgeführt, um 
- den aktuellen Stand der Tätigkeiten und Kenntnisse im Bereich des Datenschutzes zu bewerten,
- eine möglich Non-Compliance im Hinblick auf die DSGVO festzustellen und 
- letztlich Maßnahmen zur Umstellung auf die DSGVO abzuleiten.</t>
  </si>
  <si>
    <t>Die Ergebnisse der Risikoanalyse sowie die erforderlichen Maßnahmen wurden oder werden mit den Stakeholdern diskutiert und vom Management freigegeben.</t>
  </si>
  <si>
    <t xml:space="preserve">Ein wesentlicher Bestandteil des Risikomanagements ist die zentrale Überwachung und Dokumentation der Einhaltung der europäischen Datenschutzrichtlinien und der DGSVO, z.B. durch den Datenschutzbeauftragten. </t>
  </si>
  <si>
    <t>Zur Unterstützung des Datenschutzbeauftragten wurde oder wird eine Arbeitsgruppe aus den verantwortlichen Fachbereichen gebildet, die für die Umsetzung der Richtlinien verantwortlich ist.</t>
  </si>
  <si>
    <t>IT Infrastruktur - IT Security und Datenschutz</t>
  </si>
  <si>
    <t>IT Security und Datenschutz</t>
  </si>
  <si>
    <t>Skalierung</t>
  </si>
  <si>
    <t>Gestaltungsfelder und Teilbereiche</t>
  </si>
  <si>
    <t>Gestaltungsfelder</t>
  </si>
  <si>
    <t>Score des Teilbereichs</t>
  </si>
  <si>
    <t>Gewichtung des Teilbereichs</t>
  </si>
  <si>
    <t>Score des Gestaltungsfelds</t>
  </si>
  <si>
    <t>Score Zusammenfassung</t>
  </si>
  <si>
    <t>Gestaltungsfelder / Teilbereiche</t>
  </si>
  <si>
    <t>Auswertung der Nutzung von Microsoft Online Services</t>
  </si>
  <si>
    <t>Gegebenheiten und Voraussetzungen</t>
  </si>
  <si>
    <t>Cloud Readiness Assessment: Einführung</t>
  </si>
  <si>
    <t xml:space="preserve">Das Cloud Readiness Assessment ist in 3 Segmente unterteilt: </t>
  </si>
  <si>
    <t>Cloud Readiness Assessment: Bewertung und Gewichtung</t>
  </si>
  <si>
    <t>Cloud Readiness Assessment: Scoring Summary</t>
  </si>
  <si>
    <t>Cloud Readiness Assessment: Dashboard</t>
  </si>
  <si>
    <t>Cloud Readiness Optimization Model</t>
  </si>
  <si>
    <t>Cloud Readiness Assessment: Allgemeine Informationen</t>
  </si>
  <si>
    <t>Durchdringungsgrad</t>
  </si>
  <si>
    <t>Die Bewertung der Cloud Readiness erfolgt über die Prüfung bestimmter Gegebenheiten und Voraussetzungen, die - sofern sie für das Unternehmen zutreffen - die Umsetzung von Cloud Konzepten respektive die Einführung von Cloud Services positiv beeinflussen. 
Die für eine Cloud Readiness relevanten Gegebenheiten und Voraussetzungen wurden hierbei aus verschiedenen internationalen Standards oder Vorgaben, z.B. ISO/IEC 27001 und 27018, Anforderungskatalog Cloud Computing des Bundesamt für Sicherheit in der Informationstechnik, sowie better practices und Empfehlungen führender Analysten, z.B. Gartner Cloud Computing Key Initiative Overview, bei der Einführung von Cloud Services abgeleitet.
Die Gegebenheiten und Voraussetzungen sind thematisch in 6 Gestaltungsfeldern mit jeweils 3 Teilbereichen zusammengefasst.</t>
  </si>
  <si>
    <t>Alle Daten im Unternehmen sind bzgl. ihres Schutzbedarfes (Vertraulichkeit, Integrität, Verfügbarkeit) bewertet: 
- normal (Schadensauswirkungen sind begrenzt und überschaubar),
- hoch (Schadensauswirkungen können beträchtlich sein),
- sehr hoch (Schadensauswirkungen können ein existentiell bedrohliches Ausmaß erreichen).</t>
  </si>
  <si>
    <r>
      <rPr>
        <b/>
        <sz val="10"/>
        <color theme="1"/>
        <rFont val="Calibri"/>
        <family val="2"/>
        <scheme val="minor"/>
      </rPr>
      <t>Im ersten Segment</t>
    </r>
    <r>
      <rPr>
        <sz val="10"/>
        <color theme="1"/>
        <rFont val="Calibri"/>
        <family val="2"/>
        <scheme val="minor"/>
      </rPr>
      <t xml:space="preserve"> können die verschiedenen Gestaltungsfelder mit ihren Teilbereichen für die jeweilige Kundensituation gewichtet werden (Blatt / Register "Bewertung und Gewichtung"). Darüber hinaus wird das Ergebnis des Cloud Readiness Assessments über verschiedene Sichten ausgewiesen:
- Blatt / Register "Scoring Summary": tabellarische Auswertung der Cloud Readiness je Teilbereich und summarisch für die Gestaltungsfelder.
- Blatt / Register "Dashboard": grafische Auswertung über Netzwerkdiagrammen je Gestaltungsfeld und einer Zusammenfassung aller Gestaltungsfelder in einem Netzwerkdiagramm.
- Blatt / Register "CROM": grafische Auswertung der Cloud Readiness über alle Gestaltungsfelder in Form eines Balkendiagramms in Anlehnung an das Software Asset Management Optimization Model von Microsoft.</t>
    </r>
  </si>
  <si>
    <t>Achtung: Änderungen an der Dokumentenstruktur und den hinterlegten Formen führen zu fehlerhaften Berechnungen und Ergebnissen.</t>
  </si>
  <si>
    <t>Gestaltungsfeld</t>
  </si>
  <si>
    <t>Teams</t>
  </si>
  <si>
    <r>
      <rPr>
        <b/>
        <sz val="10"/>
        <color theme="1"/>
        <rFont val="Calibri"/>
        <family val="2"/>
        <scheme val="minor"/>
      </rPr>
      <t>Im dritten Segment</t>
    </r>
    <r>
      <rPr>
        <sz val="10"/>
        <color theme="1"/>
        <rFont val="Calibri"/>
        <family val="2"/>
        <scheme val="minor"/>
      </rPr>
      <t xml:space="preserve"> werden die Gegebenheiten und Voraussetzungen in den Gestaltungsfeldern und Teilbereichen beschrieben. Jede Gegebenheit oder Voraussetzung ist entweder über eine Likert-Skala (Stimme überhaupt nicht zu - Stimme voll zu) oder Boolean-Skala (Ja / Nein) zu bewerten. Darüber hinaus können Kommentare des Kunden aufgenommen werden. Die Angaben in den Kommentarfeldern werden bei der Bestimmung der Cloud Readiness nicht berücksichtigt. Diese erlauben jedoch eine detailliertere Sicht und können hilfreich sein, um konkrete Maßnahmen zur Verbesserung der Cloud Readiness abzuleiten. Um eventuelle Besonderheiten oder zusätzliche Anforderungen des Kunden zu dokumentieren, können die vorhandenen Gegebenheiten und Voraussetzungen abgewählt, anders bewertet (Score) oder bis zu 2 weitere Gegebenheiten und Voraussetzungen aufgenommen werden. Als Basis für das Cloud Readiness Assessment sind alle Gegebenheiten und Voraussetzungen mit dem jeweils besten Wert bewertet ("Ja" oder "Stimme voll zu").</t>
    </r>
  </si>
  <si>
    <t>Die Einhaltung der Service Level wird über geeignete Kontrollverfahren und Tools nachgehalten.</t>
  </si>
  <si>
    <t>Die Prozesse im IT-Asset-Management Prozesse unterstützen den gesamten Lebenszyklus von IT- Systemen und IT-Services (einschließlich Cloud Services), d.h.
- Bedarfsplanung (Demand),
- Beschaffung (Procure),
- Einsatz (Deploy),
- Wartung (Maintain),
- Ausmusterung (Retire).</t>
  </si>
  <si>
    <t>Die im Unternehmen eingesetzten Cloud Services werden analog zu den On Premise eingesetzten IT. Systemen und IT-Services in einer IT-Dokumentation beschrieben.</t>
  </si>
  <si>
    <t>Die IT-Dokumentation beinhaltet u.a. 
- eine Übersicht der mit Cloud Services unterstützten geschäftskritischen Prozesse und verbundene IT- Systeme,
- Angaben zu technischen Mindestanforderungen für die Nutzung von Cloud Services, z.B. erforderliche Software mit Versionsständen, Netzwerkanbindung,
- Service Level,
- Vorgaben für die Business Continuity, das Backup, die Wiederherstellung und ein eventuell erforderliches Roll-Back (Rückabwicklung des Roll-Outs von Cloud Services).</t>
  </si>
  <si>
    <t>Die Service Level wurden aus einer Performance Baseline für die On Premise IT-Systeme und IT- Services abgeleitet und für verschiedene Anwendungsszenarien von Cloud Services definiert, z.B.
- Nutzung über Client-Endgeräte im Unternehmensnetzwerk,
- Nutzung über Client-Endgeräte mit Netzwerkanbindung an Heimarbeitsplätzen,
- Nutzung über mobile Endgeräte über Funknetzwerke.</t>
  </si>
  <si>
    <t>Es wurden die notwendigen organisatorischen und technischen Voraussetzungen für die Verwendung von Cloud Services geschaffen, d.h. 
- das Systemmanagement ist in der Lage, On Premise IT-Services und Cloud Services zu koppeln und zu betrieben,
- die Netzwerkanbindung ist für alle Anwender und IT-Systeme mit Zugriff auf Cloud Services sichergestellt,
- die Netzwerkkapazitäten sind für die zu nutzenden Cloud Services ausreichend ausgelegt,
- das Active-Directory ist auf einem einheitlichen aktuellen Level,
- ein Single Sign On ist implementiert,
- die im Unternehmen genutzten IT-Systeme sind mehrheitlich virtualisiert und werden zentral gemanagt.</t>
  </si>
  <si>
    <t>Die für die Nutzung von Cloud Services erforderlichen Freigaben liegen vor, d.h.
- Freigabe durch IT-Betrieb,
- Freigabe durch IT-Security,
- Freigabe durch Datenschutz,
- Freigabe durch Betriebsrat.</t>
  </si>
  <si>
    <t>Cloud Services werden regelmäßig aktualisiert (Evergreen IT). Das Unternehmen hat organisatorische Vorkehrungen getroffen, neue Releases von Cloud Services zeitnah zu prüfen und in die Produktion zu überführen. Hierfür wurde u.a. der Release und Deployment Plan auf die veränderten Supportregelung für Cloud Services umgestellt, z.B. Support von max. n-2 Office 365 Pro Plus Releaseständen (Deployment Candidates) mit einem Releasewechsel aller 4 Monate.</t>
  </si>
  <si>
    <t xml:space="preserve">Die technische Prüfung und Abnahme von Cloud Services erfolgt in einer cloudbasierten Testumgebung, welche der Produktionsumgebung ähnlich, jedoch von der Produktionsumgebung technisch getrennt ist, z.B. über verschiedene Microsoft Azure AD Tenants. </t>
  </si>
  <si>
    <t>Für alle Geräte und User, die Zugriff auf das Unternehmensnetzwerk oder Cloud Services haben, ist eine Authentifizierung und Autorisierung erforderlich. Kein Gerät oder User kann eine Verbindung zum Unternehmensnetzwerk oder zu Cloud Services herstellen, ohne die Sicherheitsrichtlinien (Policies) zu erfüllen.</t>
  </si>
  <si>
    <t>Alle Ports, Protokolle und Service Konfigurationen für den Netzwerkzugang und insb. für den Zugriff auf Cloud Services in einer Hybrid- oder Public-Cloud werden dokumentiert und im Falle von Konfigurationsänderungen aktualisiert.</t>
  </si>
  <si>
    <t>Das Unternehmen verwendet eine Firewall, um den Zugang auf das Unternehmensnetzwerk und zu Cloud Services zu kontrollieren. Mit regelmäßigen Scans werden die Firewall-Services auf ihre Verfügbarkeit und Wirksamkeit überprüft. Darüber hinaus werden Scan-Tools eingesetzt, um 
- Schwachstellen im Unternehmensnetzwerk (LAN / WAN / WLAN) zu erkennen, 
- Nutzer- und Geräte-Aktivitäten zu überwachen und Auffälligkeiten zu melden.</t>
  </si>
  <si>
    <t>Um sich vor Angriffen bei der Verwendung von Cloud Services zu schützen, verwendet das Unternehmen neben der klassischen Firewall eine Web Application Firewall.</t>
  </si>
  <si>
    <t>Die Mitarbeiter im Unternehmen werden regelmäßig und zielgruppengerecht über anstehende Änderungen im IT-Umfeld informiert, z.B. 
- Bereitstellung einer neuen PC Konfiguration, 
- neue oder aktualisierte Softwareprodukte,
- neue IT- / Cloud Services.</t>
  </si>
  <si>
    <t>IT-Mitarbeiter, die an der Umsetzung von Cloud Konzepten beteiligt sind, verfügen darüber hinaus über fundiertes Wissen über 
- Cloud Technologien (Anforderungen an IT-Infrastruktur, IT-Sicherheit etc.), 
- die technologischen Parameter der zu implementierenden Cloud Services, z.B. Office 365, Azure, und 
- die Abhängigkeiten zwischen den Cloud Services und der bestehende IT-Infrastruktur des Unternehmens, z.B. technische Anbindung, Interoperabilität zwischen Systemen.
Sofern Kompetenzen im Cloud Umfeld im Unternehmen nicht oder in nicht ausreichendem Umfang vorhanden sind, werden externe Ressourcen mit entsprechender Qualifikation hinzugezogen, z.B. Cloud Solution Provider von Microsoft.</t>
  </si>
  <si>
    <t>Zwischen der IT-Organisation und den Softwareherstellern findet ein regelmäßiger Erfahrungsaustausch zu aktuellen Entwicklungen im Cloud Umfeld statt.</t>
  </si>
  <si>
    <t>Entsprechend der Schutzbedarffestellung wird der Austausch von Daten des Unternehmens mit Cloud  Services reglementiert.</t>
  </si>
  <si>
    <t>Eigenentwickelte Software oder Softwareprodukte von Drittherstellern, die in Cloud Services oder in On-Premise-Installationen von Cloud Service-Komponenten integriert sind oder mit diesen interagieren, sind bereits Cloud Service kompatibel, z.B. Office Makros wurden bereit auf Office Addins umgestellt.</t>
  </si>
  <si>
    <t>Sofern ein IT-System ersetzt werden muss (end-of-life) oder ein technische Aktualisierung, z.B. Releasewechsel, erforderlich ist, werden bei der Festlegung des Zielbilds für das Nachfolgesystem nur Cloud Service kompatible Softwareprodukte in Betracht gezogen bzw. direkt eine Migration zu Cloud Services geplant.</t>
  </si>
  <si>
    <t>Die im IT-Service-Management und IT-Asset-Management eingesetzten Tools sind bereits Cloud Service kompatibel, d.h. die Tools unterstützen:
- eine zentrale Verwaltung von Cloud Umgebungen verschiedener Cloud Service-Anbieter (Multi-Cloud  Management),
- die Aktivierung und Konfiguration von Cloud Services,
- das (automatische) Verschieben von Workloads zwischen der On-Premise IT-Infrastruktur und der Cloud Umgebung,
- die Überwachung und Auswertung der Verwendung von Cloud Services (Consumption), 
- die Ermittlung der für die Nutzung von Cloud Services erforderlichen Lizenzen.</t>
  </si>
  <si>
    <t>Für jeden Cloud Service sind folgende Service Level definiert:
- Verfügbarkeit, 
- Verarbeitungsgeschwindigkeit,
- Datenübertragungsraten, 
- Latenzen,
- maximal tolerierbare Ausfallzeit,
- maximal tolerierbare Wiederherstellzeit.</t>
  </si>
  <si>
    <t>Der Release und Deployment Plan wird mindestens zweimal pro Jahr überprüft. Die Überprüfung beinhaltet u.a.
- den Abgleich der geplanten Maßnahmen mit der IT-Strategie (Cloud Strategie) und Änderungsanforderungen (Change Requests), 
- die Analyse und Bewertung von Abhängigkeiten zwischen den geplanten Maßnahmen,
- die Kontrolle der Ziele, Rollen und Verantwortlichkeiten für die geplanten Maßnahmen sowie damit verbundener Aktivitäten und Vorgehensweisen.</t>
  </si>
  <si>
    <t>Die Verwendung von Cloud Services wurde im Rahmen eines Proof of Concepts (PoC) und / oder einer Pilotierung verprobt.</t>
  </si>
  <si>
    <t>Im Ergebnis des PoCs und Pilotprojekts wurden keine signifikanten Risiken für die Verwendung von Cloud Services festgestellt, z.B.
- fehlende Netzwerkanbindung, unzureichende Netzwerkbandbreiten oder zu hohe Latenz,
- mangelnde Kompatibilität zu anderen IT-Systemen und IT-Services,
- eingeschränkte Konnektivität zu IT-Systemen von Kunden, Lieferanten und Dienstleistern.
- nicht erfüllte Datenschutzanforderungen oder IT-Sicherheitsvorgaben.</t>
  </si>
  <si>
    <t>Die aus dem PoC und / oder dem Pilotprojekt gewonnen Erfahrungen wurden bei der finalen Ausgestaltung der Cloud Konzepte berücksichtigt.</t>
  </si>
  <si>
    <t>Das Unternehmen setzt bei der Verwendung von Cloud Services entweder auf Angebote aus Public-Clouds (Angebote frei zugänglicher Provider, die ihre Dienste offen über das Internet zugänglich machen) oder das Unternehmen verfolgt einen Hybrid-Cloud Ansatz, d.h. Verbindung zwischen Private- Cloud (Eigenbetrieb von IT-Services) und Public-Cloud.</t>
  </si>
  <si>
    <t>Es stehen im Unternehmen seit mehr als 12 Monaten IaaS (Infrastructure as a Service) Cloud Services zur Verfügung, z.B. Microsoft Azure, und die Nutzung geht deutlich über ein Proof of Concept und / oder eine Pilotierung hinaus.</t>
  </si>
  <si>
    <t>Es stehen im Unternehmen seit mehr als 12 Monaten PaaS (Platform as a Service) Cloud Services zur Verfügung, z.B. Microsoft Azure, und die Nutzung geht deutlich über ein Proof of Concept und / oder eine Pilotierung hinaus.</t>
  </si>
  <si>
    <t>Es stehen im Unternehmen seit mehr als 12 Monaten SaaS (Software as a Service) Cloud Services zur Verfügung, z.B. Office 365, und die Nutzung geht deutlich über ein Proof of Concept und / oder eine Pilotierung hinaus.</t>
  </si>
  <si>
    <t xml:space="preserve">Es existiert eine Roadmap für den Roll-Out von Cloud Services mit klaren Meilensteinen und Mengengerüsten für deren Bereitstellung und Nutzung. </t>
  </si>
  <si>
    <t>Mit der Nutzung von Cloud Services über eine Public- oder Hybrid-Cloud ist der Bedarf nach On Premise Software im Unternehmen deutlich zurückgegangen. Der Rückbau der On Premise Nutzung ist wesentlicher Bestandteil der Cloud Roadmap.</t>
  </si>
  <si>
    <t>Alle Projekte, deren Zielerreichung mit der Umsetzung von Cloud Konzepten eng verbunden ist bzw. deren Durchführung maßgeblich von der Umsetzung von Cloud Konzepten beeinflusst wird, werden über ein Projektmanagement-Office koordiniert, d.h.
- Projekt- und Meilensteinplanung,
- Abstimmung zwischen den Projektteams,
- Austausch von Projektergebnissen.</t>
  </si>
  <si>
    <t>Im Rahmen der digitalen Transformation wurden von der IT-Organisation verschiedene IT-Betriebsmodelle für die strategischen IT-Services evaluiert, darunter die Verwendung von Cloud Services oder von gehosteten Services von externen IT-Service-Providern.</t>
  </si>
  <si>
    <t>Bei der Festlegung des Zielbilds für die IT-Services und Ableitung einer Roadmap werden - insb. für die geplante Verwendung von Cloud Services - neben Rahmenbedingungen wie bestehende IT-Infrastruktur, interne Kompetenzen, Datenschutzanforderungen, verfügbare Dienstleister und Serviceangebote auch grundlegenden Anforderungen aus dem Geschäftsbetrieb, z.B. kostenneutrale oder -reduzierte Bereitstellung der IT-Services, berücksichtigt.</t>
  </si>
  <si>
    <t>Das Management im Unternehmen befürwortet und unterstützt den digitalen Wandel und akzeptiert die sich daraus ergebenden Anpassungen in der IT-Organisation und dem IT-Betrieb. Die Umsetzung einer Cloud Strategie findet auf allen Managementebenen und bei relevanten Stakeholdern, z.B. Mitarbeiter und Sozialpartnern eine breite Zustimmung.</t>
  </si>
  <si>
    <t>Für die Umsetzung der Cloud Strategie stehen ausreichende Budgets zur Verfügung.</t>
  </si>
  <si>
    <t>Vor bzw. mit der Einführung von Cloud Services werden Mitarbeiter in deren Verwendung ausführlich geschult.</t>
  </si>
  <si>
    <t xml:space="preserve">Für Cloud Konzepte erstellte Projektsteckbriefe werden zentral abgelegt und sind für alle Stakeholder zugänglich. </t>
  </si>
  <si>
    <t>Es existiert ein Arbeitskreis oder ein Lenkungsausschuss, in dem regelmäßig der Status geplanter und laufender Projekte zur Implementierung von Cloud Services abgestimmt wird.</t>
  </si>
  <si>
    <t>Bei der Umsetzung von Cloud Konzepten werden neben Berichten und Aufzeichnungen auf Grund projektbezogener Dokumentationserfordernisse wesentliche Feststellungen strukturiert dokumentiert, z.B. 
- Lessons Learned bei der Implementierung / Integration von Cloud Services, 
- Better Practices bei der Implementierung / Integration von Cloud Services,
- Risiken und Risikomanagement bei der Implementierung / Integration von Cloud Services.
In späteren Projekten wird auf diese Erfahrungen zurückgegriffen.</t>
  </si>
  <si>
    <t>Vertreter des Unternehmens nehmen regelmäßig an externen Konferenzen zum Thema Cloud Services teil bzw. engagieren sich in Interessensverbänden oder Kompetenz- / Peer-Netzwerken zum Thema Cloud.</t>
  </si>
  <si>
    <t>Es wird zentral ein Glossar gepflegt, in dem wesentliche Begriffe im Cloud Kontext für das Unternehmen verbindlich definiert werden.</t>
  </si>
  <si>
    <t>Es existiert ein betriebliches Vorschlagswesen, welches Vorschläge der Mitarbeiter für die Unternehmensentwicklung berücksichtigt und insb. Ideen zur Digitalisierung von Geschäftsprozessen und zu Cloud Konzepten prämiert.</t>
  </si>
  <si>
    <t>Die Prozessbeschreibungen beinhalten mindestens folgende Angaben:
- der Prozesseigner,
- die in den Prozess einbezogenen Rollen,
- wesentliche Aktivitäten im Prozess, 
- für jede Aktivität die erforderlichen Vorleistungen / Informationsbedarf (Input) und die Aktivitätsergebnisse (Output) sowie den Empfänger der Ergebnisse,
- die Verantwortlichkeiten der verschiedenen Rollen in den Aktivitäten, z.B. in Form von RACI Matrizen (R = Responsible, A = Accountable, C = Consulted, I = Informed),
- die erforderlichen Kompetenzen der in den Prozess einbezogenen Rollen,
- vom Prozess betroffene Stakeholder,
- die im Prozess verwendeten IT-Systeme oder IT-Services (einschließlich Cloud Services).</t>
  </si>
  <si>
    <t>Änderungen in IT-Systemen mit Bezug zu Geschäftsprozessen oder bei der Bereitstellung von IT- Services (einschließlich Cloud Services) zur Unterstützung von Geschäftsprozessen werden entweder von den Prozesseignern beauftragt (Change Requests) oder im Falle von Änderungen auf Grund notwendiger Systemanpassungen mit den Prozesseignern abgestimmt.</t>
  </si>
  <si>
    <t>Die IT-Organisation informiert regelmäßig, rechtzeitig und in geeigneter Form über anstehende Änderungen in IT Systemen oder bereitgestellten IT-Services (einschließlich Cloud Services).</t>
  </si>
  <si>
    <t>Es existieren IT-Arbeitsgruppen, die den Markt für Cloud Services zur Umsetzung der strategischen Ziele proaktiv beobachten, bewerten und die Organisationseinheiten und Prozesseigner auf relevante Neuerrungen hinweisen.</t>
  </si>
  <si>
    <t xml:space="preserve">Um die Wahrnehmung im Unternehmen für anstehende oder laufende Projekte zur Umsetzung von Cloud Konzepten zu erhöhen, werden interne Marketingmaßnahmen geplant, budgetiert und umgesetzt. </t>
  </si>
  <si>
    <t>Unterstützungsangebote der Cloud Service-Anbieter im Bereich Marketing sind bekannt und werden bedarfsabhängig in Anspruch genommen.</t>
  </si>
  <si>
    <t>Aspekte des Risikomanagements werden über den gesamten Lebenszyklus von IT-Systemen oder IT- Services (einschließlich Cloud Services) berücksichtigt, d.h. 
- beginnend mit dem Konzept, 
- über die Implementierung, 
- während des Betriebes,
- bis hin zur Stilllegung des Systems.</t>
  </si>
  <si>
    <t>Zur Sicherstellung der Betriebsbereitschaft werden vor der produktiven Bereitstellung von IT-Systemen oder IT-Services (einschließlich Cloud Services) in Test- bzw. Entwicklungsumgebungen verschiedene Prüfung durchgeführt und deren Ergebnisse dokumentiert, u.a. Prüfung der 
- Konfiguration, Funktionen und Leistung (Performance / Verfügbarkeit)
- Interoperabilität, Kompatibilität und Schnittstellen,
- System- und Datenintegrität, Sicherheit und Kontrollen,
- Barrierefreiheit.</t>
  </si>
  <si>
    <t>Das Unternehmen verfügt über langjährige Erfahrungen im Outsourcing von IT-Prozessen (Outtasking) bzw. bei der Nutzung von gehosteten IT-Services (einschließlich Cloud Services), z.B. 
- Housing / Co-Location Services,
- Storage Services,
- Security Services,
- Workplace Services.</t>
  </si>
  <si>
    <t>Die für ein Outsourcing in Frage kommenden IT-Prozesse und IT-Services wurden bereits identifiziert und im Hinblick auf folgende Aspekte dokumentiert (Lasten - / Pflichtenheft):
- Verantwortung / Zuständigkeiten für die IT-Prozesse und IT-Services (einschließlich Cloud Services), z.B. Governance- / Stakeholdereanalyse
- Relevanz und Kritikalität der IT-Prozesse und IT-Services für das Unternehmen, z.B. Schutzbedarffeststellung
- Sicherheitsanforderungen, z.B. IT-Risikoanalyse
- prozessuale Abhängigkeiten und organisatorische Schnittstellen, z.B. IT-Prozessanalyse
- technische Abhängigkeiten und Schnittstellen (CMDB), z.B. IT-Strukturanalyse</t>
  </si>
  <si>
    <t>Die Dokumentation der IT-Prozesse und IT-Systeme bzw. IT-Services (einschließlich Cloud Services) wird regelmäßig an aktuelle Entwicklungen, z.B. neue Cloud Service-Provider, neue Cloud Services oder Änderungen bestehender Cloud Services, angepasst bzw. sinnvoll erweitert.</t>
  </si>
  <si>
    <t>Es wurden bereits erste Cloud Services im Rahmen eines Proof of Concepts auf ihre Eignung zur Unterstützung von Geschäftsprozessen bzw. der Optimierung von IT-Prozessen und IT-Services evaluiert. Der Fokus lag hierbei auf der Verprobung von Public-Cloud Services, z.B. Microsoft Office 365 und Azure.</t>
  </si>
  <si>
    <t>Bei der Evaluierung wurden keine Probleme identifiziert, die der Verwendung von Cloud Services im Rahmen eines Outsourcings entgegenstehen würden, z.B. 
- gesetzliche oder branchenspezifische regulatorische Anforderungen (Datenschutz etc.),
- bestehende Lieferantenverträge (Lizenzverträge, Wartungsverträge, Garantieverträge etc.),
- vorhandene IT Infrastruktur (Netzwerke, Hard- und Software etc.),
- prozessuale Anforderungen (Kompatibilität mit bestehenden Applikationen etc.).</t>
  </si>
  <si>
    <t xml:space="preserve">Für die aus dem Einsatz von Public-Cloud Services resultierenden Betriebsänderungen, z.B. nach der Migration frei werdenden Personalressourcen, gibt es im Bedarfsfall entsprechend mit dem Betriebsrat abgestimmte Sozialpläne. </t>
  </si>
  <si>
    <t>Es gibt Pläne, die mit einem Outsourcing von IT-Prozessen, IT-Systemen und IT-Services in Richtung Cloud Service-Anbieter obsolete IT-Infrastruktur nach wirtschaftlichen Gesichtspunkten einer alternativen On-Premise-Verwendung zuzuführen, sie zurückzubauen und zu verschrotten bzw. zu verkaufen.</t>
  </si>
  <si>
    <t xml:space="preserve">Die für die Bereitstellung von Cloud Services in Frage kommenden Anbieter sind grundsätzlich allen Stakeholdern (IT, Einkauf, Management) bekannt. </t>
  </si>
  <si>
    <t>Der Auswahl der Cloud Service-Anbieter geht eine Entscheidung des Managements voraus, welche Lieferanten und Dienstleister zur strategischen Ausrichtung des Unternehmens passen und die benötigten Softwareprodukte und Dienstleistungen, sowohl im Cloud  als auch im On-Premise-Bereich, bereitstellen können.</t>
  </si>
  <si>
    <t>Zur Bewertung verschiedener Anbieter wurde entsprechend der Ausrichtung der IT-Strategie des Unternehmens ein Kriterienkatalog erstellt, der u.a. folgende Punkte enthält:
- bereits bestehende Verträge mit dem Anbieter,
- Erfahrungen in der Zusammenarbeit mit dem Anbieter,
- verfügbare Cloud Services des Anbieters,
- strategische und technologische Eignung (Fit) der Cloud Services,
- Kosten der Cloud Services (voraussichtliche Total Cost of Ownership),
- Standorte der Rechenzentren des Anbieters,
- Ausbaukapazitäten und Skalierbarkeit der angebotenen Cloud Services,
- Cloud Strategie und Innovationsgrad des Anbieters,
- Support (lokal oder im Ausland) des Anbieters.</t>
  </si>
  <si>
    <t>Basierend auf der Entscheidung, ob Cloud Services in einem Public-Cloud Modell, Hybrid-Modell oder über eine Privat-Cloud genutzt werden sollen, werden eventuelle Abhängigkeiten zu den Anbietern der Cloud Services berücksichtigt und in einer Risikoanalyse bewertet.</t>
  </si>
  <si>
    <t xml:space="preserve">Die Qualität der von Cloud Service-Anbietern erbrachten Leistungen wird über Service-Level Vereinbarungen nachgehalten. </t>
  </si>
  <si>
    <t>Strategische Cloud Service-Anbieter werden aktiv durch ein Vendoren- bzw. Providermanagement gesteuert.</t>
  </si>
  <si>
    <t>Es existieren Kriterienkataloge, die Organisationseinheiten für die Überprüfung von Verträgen für Cloud Services heranziehen müssen.</t>
  </si>
  <si>
    <t>Kritische Punkte werden von allen Organisationseinheiten bewertet und Entscheidungen fließen in die Verhandlung mit Anbietern für Cloud Services ein.</t>
  </si>
  <si>
    <t>Bei der Ausgestaltung von Verträgen werden Ergebnisse aus Cloud Evaluierungsprojekten und Anforderungen aus dem Lizenzmanagement berücksichtigt. Dies umfasst u.a.
- Überleitung von On Premise Lizenzen, z.B. über Add-Ons, Rabatte,
- Migrationszeiträume, z.B. bei Lizenzverträgen mit Standardisierungsanforderungen,
- erweiterte Nutzungsrechte für Cloud Services, z.B. On Premise Nutzungsrechte für nicht migrierbare Applikationen,
- Unterstützungsleistungen seitens des Anbieters von Cloud Services, z.B. Begleitung technischer Workshops.</t>
  </si>
  <si>
    <t>Die aktiven Lizenz- und Wartungsverträge mit strategischen Softwarelieferanten / Cloud Service Anbietern stehen innerhalb der nächsten 6 bis 12 Monate zur Verlängerung oder Neuverhandlung an bzw. die Verhandlungen laufen bereits.</t>
  </si>
  <si>
    <t>Dieses Dokument erlaubt die Aufnahme und Bewertung der Ausgangssituation eines Kunden, um für die Einführung von Cloud Services vorbereitet zu sein.</t>
  </si>
  <si>
    <r>
      <rPr>
        <b/>
        <sz val="10"/>
        <color theme="1"/>
        <rFont val="Calibri"/>
        <family val="2"/>
        <scheme val="minor"/>
      </rPr>
      <t>Im zweiten Segment</t>
    </r>
    <r>
      <rPr>
        <sz val="10"/>
        <color theme="1"/>
        <rFont val="Calibri"/>
        <family val="2"/>
        <scheme val="minor"/>
      </rPr>
      <t xml:space="preserve"> werden Basisinformationen über die vom Kunden genutzten Microsoft Online Service erhoben. Hierbei wird in der weiteren Analyse von folgender Hypothese ausgegangen: Nutzt ein Kunde bereits in größerem Umfang Microsoft Online Services ist er grundsätzlich Cloud Ready. Insofern berücksichtigt das Assessment neben der Bewertung der Gegebenheiten und Voraussetzungen den Durchdringungsgrad von Microsoft Online Services in der Organisation des Kunden und ermittelt die Cloud Readiness - sofern der Durchdringungsgrad höher liegt als der ermittelte Score der Gestaltungsfelder und Teilbereiche - anhand des Durchdringungsgrads von Microsoft Online Services. Um die Berechnung der Cloud Readiness nicht zu verfälschen, sind alle Werte in dem Blatt / Register "Microsoft Online Services" initial auf 0 gestellt.</t>
    </r>
  </si>
  <si>
    <t>Nicht jeder Cloud Service ist nicht in der IT bekannt - O365 stimme voll zu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</si>
</sst>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51" x14ac:knownFonts="1">
    <font>
      <sz val="11"/>
      <color theme="1"/>
      <name val="Calibri"/>
      <family val="2"/>
      <scheme val="minor"/>
    </font>
    <font>
      <sz val="11"/>
      <color theme="1"/>
      <name val="Calibri"/>
      <family val="2"/>
      <scheme val="minor"/>
    </font>
    <font>
      <sz val="10"/>
      <name val="Arial"/>
      <family val="2"/>
    </font>
    <font>
      <sz val="11"/>
      <color theme="1"/>
      <name val="Calibri"/>
      <family val="2"/>
    </font>
    <font>
      <b/>
      <sz val="11"/>
      <color theme="0"/>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i/>
      <sz val="10"/>
      <color theme="1"/>
      <name val="Calibri"/>
      <family val="2"/>
      <scheme val="minor"/>
    </font>
    <font>
      <i/>
      <sz val="10"/>
      <name val="Calibri"/>
      <family val="2"/>
      <scheme val="minor"/>
    </font>
    <font>
      <sz val="10"/>
      <name val="Calibri"/>
      <family val="2"/>
      <scheme val="minor"/>
    </font>
    <font>
      <b/>
      <i/>
      <sz val="10"/>
      <name val="Calibri"/>
      <family val="2"/>
      <scheme val="minor"/>
    </font>
    <font>
      <b/>
      <sz val="10"/>
      <name val="Calibri"/>
      <family val="2"/>
      <scheme val="minor"/>
    </font>
    <font>
      <i/>
      <sz val="11"/>
      <color theme="1"/>
      <name val="Calibri"/>
      <family val="2"/>
      <scheme val="minor"/>
    </font>
    <font>
      <b/>
      <sz val="12"/>
      <color theme="1"/>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i/>
      <sz val="10"/>
      <color theme="1"/>
      <name val="Calibri"/>
      <family val="2"/>
      <scheme val="minor"/>
    </font>
    <font>
      <b/>
      <i/>
      <sz val="10"/>
      <color theme="1"/>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i/>
      <sz val="10"/>
      <name val="Calibri"/>
      <family val="2"/>
      <scheme val="minor"/>
    </font>
    <font>
      <sz val="10"/>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i/>
      <sz val="10"/>
      <name val="Calibri"/>
      <family val="2"/>
      <scheme val="minor"/>
    </font>
    <font>
      <sz val="10"/>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i/>
      <sz val="10"/>
      <name val="Calibri"/>
      <family val="2"/>
      <scheme val="minor"/>
    </font>
    <font>
      <sz val="10"/>
      <name val="Calibri"/>
      <family val="2"/>
      <scheme val="minor"/>
    </font>
    <font>
      <b/>
      <sz val="12"/>
      <color theme="1"/>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b/>
      <sz val="16"/>
      <color theme="1"/>
      <name val="Calibri"/>
      <family val="2"/>
      <scheme val="minor"/>
    </font>
    <font>
      <b/>
      <sz val="16"/>
      <name val="Calibri"/>
      <family val="2"/>
      <scheme val="minor"/>
    </font>
    <font>
      <sz val="11"/>
      <color theme="0"/>
      <name val="Calibri"/>
      <family val="2"/>
      <scheme val="minor"/>
    </font>
    <font>
      <b/>
      <sz val="12"/>
      <color theme="1"/>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i/>
      <sz val="10"/>
      <name val="Calibri"/>
      <family val="2"/>
      <scheme val="minor"/>
    </font>
    <font>
      <sz val="10"/>
      <name val="Calibri"/>
      <family val="2"/>
      <scheme val="minor"/>
    </font>
  </fonts>
  <fills count="1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002060"/>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F2F2F2"/>
        <bgColor indexed="64"/>
      </patternFill>
    </fill>
    <fill>
      <patternFill patternType="solid">
        <fgColor rgb="FFFFC000"/>
        <bgColor indexed="64"/>
      </patternFill>
    </fill>
    <fill>
      <patternFill patternType="solid">
        <fgColor rgb="FFCC0000"/>
        <bgColor indexed="64"/>
      </patternFill>
    </fill>
    <fill>
      <patternFill patternType="solid">
        <fgColor rgb="FF00B050"/>
        <bgColor indexed="64"/>
      </patternFill>
    </fill>
    <fill>
      <patternFill patternType="solid">
        <fgColor rgb="FF92D050"/>
        <bgColor indexed="64"/>
      </patternFill>
    </fill>
    <fill>
      <patternFill patternType="solid">
        <fgColor rgb="FF0070C0"/>
        <bgColor indexed="64"/>
      </patternFill>
    </fill>
    <fill>
      <patternFill patternType="solid">
        <fgColor rgb="FFC00000"/>
        <bgColor indexed="64"/>
      </patternFill>
    </fill>
    <fill>
      <patternFill patternType="solid">
        <fgColor theme="6" tint="0.59999389629810485"/>
        <bgColor indexed="64"/>
      </patternFill>
    </fill>
    <fill>
      <patternFill patternType="solid">
        <fgColor theme="0" tint="-0.34998626667073579"/>
        <bgColor indexed="64"/>
      </patternFill>
    </fill>
  </fills>
  <borders count="3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top style="thin">
        <color indexed="64"/>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top style="thin">
        <color indexed="64"/>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indexed="64"/>
      </left>
      <right style="thin">
        <color indexed="64"/>
      </right>
      <top/>
      <bottom style="thin">
        <color indexed="64"/>
      </bottom>
      <diagonal/>
    </border>
    <border>
      <left style="thin">
        <color theme="0"/>
      </left>
      <right/>
      <top/>
      <bottom style="thin">
        <color theme="0"/>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5">
    <xf numFmtId="0" fontId="0" fillId="0" borderId="0"/>
    <xf numFmtId="9" fontId="1" fillId="0" borderId="0" applyFont="0" applyFill="0" applyBorder="0" applyAlignment="0" applyProtection="0"/>
    <xf numFmtId="0" fontId="2" fillId="0" borderId="0"/>
    <xf numFmtId="0" fontId="2" fillId="0" borderId="0"/>
    <xf numFmtId="0" fontId="3" fillId="0" borderId="0"/>
  </cellStyleXfs>
  <cellXfs count="365">
    <xf numFmtId="0" fontId="0" fillId="0" borderId="0" xfId="0"/>
    <xf numFmtId="0" fontId="7" fillId="8" borderId="0" xfId="0" applyFont="1" applyFill="1" applyBorder="1"/>
    <xf numFmtId="0" fontId="8" fillId="8" borderId="0" xfId="0" applyFont="1" applyFill="1" applyBorder="1"/>
    <xf numFmtId="0" fontId="8" fillId="8" borderId="0" xfId="0" applyFont="1" applyFill="1"/>
    <xf numFmtId="0" fontId="0" fillId="8" borderId="0" xfId="0" applyFont="1" applyFill="1"/>
    <xf numFmtId="0" fontId="0" fillId="7" borderId="0" xfId="0" applyFont="1" applyFill="1" applyBorder="1" applyProtection="1">
      <protection hidden="1"/>
    </xf>
    <xf numFmtId="0" fontId="0" fillId="7" borderId="0" xfId="0" applyFont="1" applyFill="1" applyBorder="1"/>
    <xf numFmtId="0" fontId="0" fillId="7" borderId="0" xfId="0" applyFont="1" applyFill="1"/>
    <xf numFmtId="0" fontId="0" fillId="0" borderId="0" xfId="0" applyFont="1"/>
    <xf numFmtId="0" fontId="8" fillId="3" borderId="17" xfId="0" applyFont="1" applyFill="1" applyBorder="1"/>
    <xf numFmtId="0" fontId="8" fillId="3" borderId="18" xfId="0" applyFont="1" applyFill="1" applyBorder="1"/>
    <xf numFmtId="0" fontId="8" fillId="0" borderId="0" xfId="0" applyFont="1"/>
    <xf numFmtId="0" fontId="8" fillId="7" borderId="0" xfId="0" applyFont="1" applyFill="1" applyBorder="1"/>
    <xf numFmtId="0" fontId="11" fillId="4" borderId="4" xfId="0" applyFont="1" applyFill="1" applyBorder="1" applyAlignment="1">
      <alignment horizontal="left"/>
    </xf>
    <xf numFmtId="9" fontId="10" fillId="4" borderId="4" xfId="1" quotePrefix="1" applyFont="1" applyFill="1" applyBorder="1" applyAlignment="1">
      <alignment horizontal="center"/>
    </xf>
    <xf numFmtId="0" fontId="10" fillId="7" borderId="4" xfId="0" applyFont="1" applyFill="1" applyBorder="1" applyAlignment="1">
      <alignment horizontal="left" indent="1"/>
    </xf>
    <xf numFmtId="0" fontId="9" fillId="7" borderId="4" xfId="0" applyFont="1" applyFill="1" applyBorder="1"/>
    <xf numFmtId="164" fontId="9" fillId="7" borderId="4" xfId="1" applyNumberFormat="1" applyFont="1" applyFill="1" applyBorder="1"/>
    <xf numFmtId="0" fontId="8" fillId="0" borderId="21" xfId="0" applyFont="1" applyBorder="1"/>
    <xf numFmtId="0" fontId="0" fillId="0" borderId="0" xfId="0" applyFont="1" applyBorder="1"/>
    <xf numFmtId="165" fontId="0" fillId="0" borderId="0" xfId="0" applyNumberFormat="1" applyFont="1" applyBorder="1"/>
    <xf numFmtId="0" fontId="13" fillId="4" borderId="4" xfId="0" applyNumberFormat="1" applyFont="1" applyFill="1" applyBorder="1" applyAlignment="1">
      <alignment horizontal="left" vertical="center" wrapText="1"/>
    </xf>
    <xf numFmtId="0" fontId="9" fillId="7" borderId="0" xfId="0" applyFont="1" applyFill="1" applyBorder="1"/>
    <xf numFmtId="0" fontId="8" fillId="2" borderId="0" xfId="0" applyFont="1" applyFill="1"/>
    <xf numFmtId="0" fontId="4" fillId="6" borderId="0" xfId="0" applyFont="1" applyFill="1"/>
    <xf numFmtId="0" fontId="6" fillId="6" borderId="0" xfId="0" applyFont="1" applyFill="1"/>
    <xf numFmtId="0" fontId="16" fillId="0" borderId="0" xfId="0" applyFont="1"/>
    <xf numFmtId="10" fontId="0" fillId="0" borderId="0" xfId="0" applyNumberFormat="1" applyFont="1"/>
    <xf numFmtId="0" fontId="0" fillId="0" borderId="5" xfId="0" applyFont="1" applyBorder="1"/>
    <xf numFmtId="0" fontId="0" fillId="0" borderId="5" xfId="0" applyFont="1" applyBorder="1" applyAlignment="1">
      <alignment horizontal="left" indent="1"/>
    </xf>
    <xf numFmtId="0" fontId="0" fillId="0" borderId="23" xfId="0" applyFont="1" applyBorder="1"/>
    <xf numFmtId="10" fontId="12" fillId="3" borderId="4" xfId="1" applyNumberFormat="1" applyFont="1" applyFill="1" applyBorder="1" applyAlignment="1">
      <alignment horizontal="center" vertical="center" wrapText="1"/>
    </xf>
    <xf numFmtId="0" fontId="13" fillId="0" borderId="4" xfId="2" applyFont="1" applyBorder="1" applyAlignment="1" applyProtection="1">
      <alignment horizontal="center" vertical="center" wrapText="1"/>
      <protection locked="0"/>
    </xf>
    <xf numFmtId="0" fontId="8" fillId="0" borderId="4" xfId="0" applyFont="1" applyBorder="1" applyAlignment="1" applyProtection="1">
      <alignment horizontal="left" vertical="center"/>
      <protection locked="0"/>
    </xf>
    <xf numFmtId="0" fontId="8" fillId="0" borderId="20" xfId="0" applyFont="1" applyBorder="1"/>
    <xf numFmtId="0" fontId="9" fillId="0" borderId="23" xfId="0" applyFont="1" applyBorder="1"/>
    <xf numFmtId="0" fontId="8" fillId="0" borderId="22" xfId="0" applyFont="1" applyBorder="1"/>
    <xf numFmtId="0" fontId="12" fillId="3" borderId="4" xfId="1" applyNumberFormat="1" applyFont="1" applyFill="1" applyBorder="1" applyAlignment="1">
      <alignment horizontal="center" wrapText="1"/>
    </xf>
    <xf numFmtId="0" fontId="9" fillId="0" borderId="24" xfId="0" applyFont="1" applyBorder="1"/>
    <xf numFmtId="10" fontId="12" fillId="3" borderId="4" xfId="1" applyNumberFormat="1" applyFont="1" applyFill="1" applyBorder="1" applyAlignment="1">
      <alignment horizontal="center" wrapText="1"/>
    </xf>
    <xf numFmtId="0" fontId="8" fillId="7" borderId="0" xfId="0" applyFont="1" applyFill="1"/>
    <xf numFmtId="0" fontId="9" fillId="7" borderId="0" xfId="0" applyFont="1" applyFill="1"/>
    <xf numFmtId="0" fontId="8" fillId="0" borderId="19" xfId="0" applyFont="1" applyBorder="1"/>
    <xf numFmtId="0" fontId="9" fillId="3" borderId="17" xfId="0" applyFont="1" applyFill="1" applyBorder="1" applyAlignment="1">
      <alignment horizontal="left"/>
    </xf>
    <xf numFmtId="0" fontId="8" fillId="0" borderId="0" xfId="0" applyFont="1" applyBorder="1"/>
    <xf numFmtId="0" fontId="9" fillId="3" borderId="17" xfId="0" applyFont="1" applyFill="1" applyBorder="1" applyAlignment="1">
      <alignment horizontal="left"/>
    </xf>
    <xf numFmtId="0" fontId="8" fillId="0" borderId="26" xfId="0" applyFont="1" applyBorder="1"/>
    <xf numFmtId="165" fontId="13" fillId="7" borderId="0" xfId="0" applyNumberFormat="1" applyFont="1" applyFill="1" applyBorder="1"/>
    <xf numFmtId="0" fontId="13" fillId="7" borderId="0" xfId="0" applyFont="1" applyFill="1" applyBorder="1"/>
    <xf numFmtId="0" fontId="0" fillId="0" borderId="0" xfId="0" applyAlignment="1">
      <alignment wrapText="1"/>
    </xf>
    <xf numFmtId="0" fontId="8" fillId="0" borderId="4" xfId="0" applyFont="1" applyBorder="1" applyAlignment="1" applyProtection="1">
      <alignment horizontal="left" vertical="center" wrapText="1"/>
      <protection locked="0"/>
    </xf>
    <xf numFmtId="0" fontId="0" fillId="0" borderId="6" xfId="0" applyFont="1" applyBorder="1"/>
    <xf numFmtId="10" fontId="12" fillId="3" borderId="7" xfId="1" applyNumberFormat="1" applyFont="1" applyFill="1" applyBorder="1" applyAlignment="1">
      <alignment horizontal="center" vertical="center" wrapText="1"/>
    </xf>
    <xf numFmtId="0" fontId="13" fillId="0" borderId="18" xfId="2" applyFont="1" applyBorder="1" applyAlignment="1" applyProtection="1">
      <alignment horizontal="center" vertical="center" wrapText="1"/>
      <protection locked="0"/>
    </xf>
    <xf numFmtId="0" fontId="8" fillId="10" borderId="4" xfId="0" applyFont="1" applyFill="1" applyBorder="1" applyAlignment="1">
      <alignment vertical="center" wrapText="1"/>
    </xf>
    <xf numFmtId="0" fontId="8" fillId="4" borderId="4" xfId="0" applyNumberFormat="1" applyFont="1" applyFill="1" applyBorder="1" applyAlignment="1">
      <alignment horizontal="left" vertical="center" wrapText="1"/>
    </xf>
    <xf numFmtId="10" fontId="14" fillId="3" borderId="4" xfId="1" applyNumberFormat="1" applyFont="1" applyFill="1" applyBorder="1" applyAlignment="1">
      <alignment horizontal="center" wrapText="1"/>
    </xf>
    <xf numFmtId="0" fontId="9" fillId="3" borderId="17" xfId="0" applyFont="1" applyFill="1" applyBorder="1" applyAlignment="1">
      <alignment horizontal="left"/>
    </xf>
    <xf numFmtId="0" fontId="4" fillId="12" borderId="5" xfId="0" applyFont="1" applyFill="1" applyBorder="1" applyAlignment="1">
      <alignment horizontal="center"/>
    </xf>
    <xf numFmtId="0" fontId="5" fillId="5" borderId="5" xfId="0" applyFont="1" applyFill="1" applyBorder="1" applyAlignment="1">
      <alignment horizontal="center"/>
    </xf>
    <xf numFmtId="0" fontId="5" fillId="11" borderId="5" xfId="0" applyFont="1" applyFill="1" applyBorder="1" applyAlignment="1">
      <alignment horizontal="center"/>
    </xf>
    <xf numFmtId="0" fontId="5" fillId="13" borderId="5" xfId="0" applyFont="1" applyFill="1" applyBorder="1" applyAlignment="1">
      <alignment horizontal="center"/>
    </xf>
    <xf numFmtId="0" fontId="5" fillId="14" borderId="5" xfId="0" applyFont="1" applyFill="1" applyBorder="1" applyAlignment="1">
      <alignment horizontal="center"/>
    </xf>
    <xf numFmtId="0" fontId="5" fillId="15" borderId="5" xfId="0" applyFont="1" applyFill="1" applyBorder="1" applyAlignment="1">
      <alignment horizontal="center"/>
    </xf>
    <xf numFmtId="0" fontId="0" fillId="15" borderId="5" xfId="0" applyFill="1" applyBorder="1"/>
    <xf numFmtId="0" fontId="0" fillId="13" borderId="5" xfId="0" applyFill="1" applyBorder="1"/>
    <xf numFmtId="0" fontId="0" fillId="14" borderId="5" xfId="0" applyFill="1" applyBorder="1"/>
    <xf numFmtId="0" fontId="0" fillId="5" borderId="5" xfId="0" applyFill="1" applyBorder="1"/>
    <xf numFmtId="0" fontId="0" fillId="11" borderId="5" xfId="0" applyFill="1" applyBorder="1"/>
    <xf numFmtId="0" fontId="6" fillId="12" borderId="5" xfId="0" applyFont="1" applyFill="1" applyBorder="1"/>
    <xf numFmtId="9" fontId="10" fillId="0" borderId="4" xfId="1" applyNumberFormat="1" applyFont="1" applyFill="1" applyBorder="1"/>
    <xf numFmtId="9" fontId="10" fillId="4" borderId="4" xfId="1" quotePrefix="1" applyNumberFormat="1" applyFont="1" applyFill="1" applyBorder="1" applyAlignment="1">
      <alignment horizontal="center"/>
    </xf>
    <xf numFmtId="9" fontId="10" fillId="4" borderId="4" xfId="1" quotePrefix="1" applyFont="1" applyFill="1" applyBorder="1" applyAlignment="1">
      <alignment horizontal="right"/>
    </xf>
    <xf numFmtId="9" fontId="10" fillId="0" borderId="4" xfId="1" applyNumberFormat="1" applyFont="1" applyFill="1" applyBorder="1" applyAlignment="1">
      <alignment horizontal="right"/>
    </xf>
    <xf numFmtId="9" fontId="10" fillId="4" borderId="4" xfId="1" quotePrefix="1" applyNumberFormat="1" applyFont="1" applyFill="1" applyBorder="1" applyAlignment="1">
      <alignment horizontal="right"/>
    </xf>
    <xf numFmtId="9" fontId="9" fillId="4" borderId="4" xfId="1" applyFont="1" applyFill="1" applyBorder="1" applyAlignment="1">
      <alignment horizontal="right"/>
    </xf>
    <xf numFmtId="164" fontId="8" fillId="0" borderId="4" xfId="0" applyNumberFormat="1" applyFont="1" applyFill="1" applyBorder="1" applyAlignment="1">
      <alignment horizontal="right"/>
    </xf>
    <xf numFmtId="0" fontId="8" fillId="0" borderId="4" xfId="0" applyFont="1" applyBorder="1" applyAlignment="1">
      <alignment horizontal="center"/>
    </xf>
    <xf numFmtId="0" fontId="8" fillId="0" borderId="4" xfId="0" applyFont="1" applyBorder="1"/>
    <xf numFmtId="165" fontId="0" fillId="7" borderId="0" xfId="0" applyNumberFormat="1" applyFont="1" applyFill="1" applyBorder="1"/>
    <xf numFmtId="0" fontId="9" fillId="4" borderId="4" xfId="0" applyFont="1" applyFill="1" applyBorder="1" applyAlignment="1">
      <alignment horizontal="left"/>
    </xf>
    <xf numFmtId="0" fontId="17" fillId="8" borderId="0" xfId="0" applyFont="1" applyFill="1" applyBorder="1"/>
    <xf numFmtId="0" fontId="18" fillId="8" borderId="0" xfId="0" applyFont="1" applyFill="1" applyBorder="1"/>
    <xf numFmtId="0" fontId="18" fillId="8" borderId="0" xfId="0" applyFont="1" applyFill="1"/>
    <xf numFmtId="0" fontId="18" fillId="0" borderId="0" xfId="0" applyFont="1"/>
    <xf numFmtId="0" fontId="18" fillId="0" borderId="0" xfId="0" applyFont="1" applyFill="1"/>
    <xf numFmtId="0" fontId="19" fillId="7" borderId="0" xfId="0" applyFont="1" applyFill="1" applyBorder="1" applyProtection="1">
      <protection hidden="1"/>
    </xf>
    <xf numFmtId="0" fontId="19" fillId="7" borderId="0" xfId="0" applyFont="1" applyFill="1" applyBorder="1"/>
    <xf numFmtId="0" fontId="19" fillId="7" borderId="0" xfId="0" applyFont="1" applyFill="1"/>
    <xf numFmtId="0" fontId="19" fillId="0" borderId="0" xfId="0" applyFont="1"/>
    <xf numFmtId="0" fontId="19" fillId="0" borderId="0" xfId="0" applyFont="1" applyFill="1"/>
    <xf numFmtId="0" fontId="18" fillId="9" borderId="0" xfId="0" applyFont="1" applyFill="1"/>
    <xf numFmtId="0" fontId="20" fillId="0" borderId="8" xfId="0" applyFont="1" applyBorder="1"/>
    <xf numFmtId="0" fontId="18" fillId="0" borderId="9" xfId="0" applyFont="1" applyBorder="1"/>
    <xf numFmtId="0" fontId="18" fillId="0" borderId="10" xfId="0" applyFont="1" applyBorder="1"/>
    <xf numFmtId="0" fontId="20" fillId="0" borderId="4" xfId="0" applyFont="1" applyBorder="1" applyAlignment="1">
      <alignment horizontal="center"/>
    </xf>
    <xf numFmtId="0" fontId="21" fillId="0" borderId="4" xfId="0" applyFont="1" applyBorder="1" applyAlignment="1">
      <alignment horizontal="center" vertical="top" wrapText="1"/>
    </xf>
    <xf numFmtId="0" fontId="21" fillId="0" borderId="4" xfId="0" applyFont="1" applyBorder="1" applyAlignment="1">
      <alignment horizontal="center"/>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3" xfId="0" applyFont="1" applyBorder="1" applyAlignment="1">
      <alignment horizontal="center" vertical="top" wrapText="1"/>
    </xf>
    <xf numFmtId="0" fontId="18" fillId="0" borderId="15" xfId="0" applyFont="1" applyBorder="1"/>
    <xf numFmtId="0" fontId="18" fillId="0" borderId="16" xfId="0" applyFont="1" applyBorder="1"/>
    <xf numFmtId="0" fontId="18" fillId="0" borderId="8" xfId="0" applyFont="1" applyBorder="1"/>
    <xf numFmtId="0" fontId="20" fillId="3" borderId="1" xfId="0" applyFont="1" applyFill="1" applyBorder="1" applyAlignment="1"/>
    <xf numFmtId="0" fontId="18" fillId="3" borderId="2" xfId="0" applyFont="1" applyFill="1" applyBorder="1"/>
    <xf numFmtId="0" fontId="18" fillId="3" borderId="3" xfId="0" applyFont="1" applyFill="1" applyBorder="1"/>
    <xf numFmtId="0" fontId="20" fillId="4" borderId="7" xfId="0" applyFont="1" applyFill="1" applyBorder="1"/>
    <xf numFmtId="0" fontId="18" fillId="4" borderId="17" xfId="0" applyFont="1" applyFill="1" applyBorder="1"/>
    <xf numFmtId="164" fontId="21" fillId="4" borderId="7" xfId="1" applyNumberFormat="1" applyFont="1" applyFill="1" applyBorder="1"/>
    <xf numFmtId="0" fontId="18" fillId="3" borderId="5" xfId="0" applyFont="1" applyFill="1" applyBorder="1"/>
    <xf numFmtId="0" fontId="18" fillId="3" borderId="0" xfId="0" applyFont="1" applyFill="1" applyBorder="1"/>
    <xf numFmtId="0" fontId="18" fillId="3" borderId="6" xfId="0" applyFont="1" applyFill="1" applyBorder="1"/>
    <xf numFmtId="0" fontId="18" fillId="7" borderId="7" xfId="0" applyFont="1" applyFill="1" applyBorder="1" applyAlignment="1">
      <alignment horizontal="left" indent="1"/>
    </xf>
    <xf numFmtId="0" fontId="18" fillId="7" borderId="17" xfId="0" applyFont="1" applyFill="1" applyBorder="1"/>
    <xf numFmtId="164" fontId="18" fillId="7" borderId="7" xfId="1" applyNumberFormat="1" applyFont="1" applyFill="1" applyBorder="1" applyProtection="1">
      <protection locked="0"/>
    </xf>
    <xf numFmtId="0" fontId="20" fillId="7" borderId="17" xfId="0" applyFont="1" applyFill="1" applyBorder="1"/>
    <xf numFmtId="0" fontId="18" fillId="0" borderId="0" xfId="0" applyFont="1" applyBorder="1"/>
    <xf numFmtId="0" fontId="18" fillId="0" borderId="0" xfId="0" applyFont="1" applyFill="1" applyBorder="1"/>
    <xf numFmtId="0" fontId="13" fillId="7" borderId="4" xfId="2" applyFont="1" applyFill="1" applyBorder="1" applyAlignment="1" applyProtection="1">
      <alignment horizontal="center" vertical="center" wrapText="1"/>
      <protection locked="0"/>
    </xf>
    <xf numFmtId="0" fontId="8" fillId="7" borderId="4" xfId="0" applyFont="1" applyFill="1" applyBorder="1" applyAlignment="1" applyProtection="1">
      <alignment horizontal="left" vertical="center"/>
      <protection locked="0"/>
    </xf>
    <xf numFmtId="0" fontId="23" fillId="8" borderId="0" xfId="0" applyFont="1" applyFill="1" applyBorder="1"/>
    <xf numFmtId="0" fontId="23" fillId="8" borderId="0" xfId="0" applyFont="1" applyFill="1"/>
    <xf numFmtId="0" fontId="24" fillId="8" borderId="0" xfId="0" applyFont="1" applyFill="1"/>
    <xf numFmtId="0" fontId="23" fillId="0" borderId="0" xfId="0" applyFont="1"/>
    <xf numFmtId="0" fontId="24" fillId="0" borderId="23" xfId="0" applyFont="1" applyBorder="1"/>
    <xf numFmtId="0" fontId="24" fillId="0" borderId="0" xfId="0" applyFont="1"/>
    <xf numFmtId="0" fontId="25" fillId="3" borderId="17" xfId="0" applyFont="1" applyFill="1" applyBorder="1" applyAlignment="1">
      <alignment horizontal="left"/>
    </xf>
    <xf numFmtId="0" fontId="23" fillId="3" borderId="17" xfId="0" applyFont="1" applyFill="1" applyBorder="1"/>
    <xf numFmtId="0" fontId="23" fillId="3" borderId="18" xfId="0" applyFont="1" applyFill="1" applyBorder="1"/>
    <xf numFmtId="10" fontId="26" fillId="3" borderId="4" xfId="1" applyNumberFormat="1" applyFont="1" applyFill="1" applyBorder="1" applyAlignment="1">
      <alignment horizontal="center" vertical="center" wrapText="1"/>
    </xf>
    <xf numFmtId="0" fontId="27" fillId="0" borderId="4" xfId="2" applyFont="1" applyBorder="1" applyAlignment="1" applyProtection="1">
      <alignment horizontal="center" vertical="center" wrapText="1"/>
      <protection locked="0"/>
    </xf>
    <xf numFmtId="0" fontId="23" fillId="0" borderId="4" xfId="0" applyFont="1" applyBorder="1" applyAlignment="1" applyProtection="1">
      <alignment horizontal="left" vertical="center"/>
      <protection locked="0"/>
    </xf>
    <xf numFmtId="0" fontId="23" fillId="0" borderId="4" xfId="0" applyFont="1" applyBorder="1" applyAlignment="1" applyProtection="1">
      <alignment horizontal="left" vertical="center" wrapText="1"/>
      <protection locked="0"/>
    </xf>
    <xf numFmtId="0" fontId="23" fillId="0" borderId="20" xfId="0" applyFont="1" applyBorder="1"/>
    <xf numFmtId="0" fontId="25" fillId="0" borderId="23" xfId="0" applyFont="1" applyBorder="1"/>
    <xf numFmtId="0" fontId="23" fillId="0" borderId="22" xfId="0" applyFont="1" applyBorder="1"/>
    <xf numFmtId="0" fontId="26" fillId="3" borderId="4" xfId="1" applyNumberFormat="1" applyFont="1" applyFill="1" applyBorder="1" applyAlignment="1">
      <alignment horizontal="center" wrapText="1"/>
    </xf>
    <xf numFmtId="0" fontId="23" fillId="0" borderId="21" xfId="0" applyFont="1" applyBorder="1"/>
    <xf numFmtId="0" fontId="25" fillId="0" borderId="24" xfId="0" applyFont="1" applyBorder="1"/>
    <xf numFmtId="10" fontId="26" fillId="3" borderId="4" xfId="1" applyNumberFormat="1" applyFont="1" applyFill="1" applyBorder="1" applyAlignment="1">
      <alignment horizontal="center" wrapText="1"/>
    </xf>
    <xf numFmtId="0" fontId="10" fillId="7" borderId="4" xfId="0" applyFont="1" applyFill="1" applyBorder="1" applyAlignment="1">
      <alignment horizontal="left" wrapText="1" indent="1"/>
    </xf>
    <xf numFmtId="0" fontId="28" fillId="8" borderId="0" xfId="0" applyFont="1" applyFill="1" applyBorder="1"/>
    <xf numFmtId="0" fontId="28" fillId="8" borderId="0" xfId="0" applyFont="1" applyFill="1"/>
    <xf numFmtId="0" fontId="29" fillId="8" borderId="0" xfId="0" applyFont="1" applyFill="1"/>
    <xf numFmtId="0" fontId="28" fillId="0" borderId="0" xfId="0" applyFont="1"/>
    <xf numFmtId="0" fontId="29" fillId="0" borderId="23" xfId="0" applyFont="1" applyBorder="1"/>
    <xf numFmtId="0" fontId="29" fillId="0" borderId="0" xfId="0" applyFont="1"/>
    <xf numFmtId="0" fontId="30" fillId="3" borderId="17" xfId="0" applyFont="1" applyFill="1" applyBorder="1" applyAlignment="1">
      <alignment horizontal="left"/>
    </xf>
    <xf numFmtId="0" fontId="28" fillId="3" borderId="17" xfId="0" applyFont="1" applyFill="1" applyBorder="1"/>
    <xf numFmtId="0" fontId="28" fillId="3" borderId="18" xfId="0" applyFont="1" applyFill="1" applyBorder="1"/>
    <xf numFmtId="10" fontId="31" fillId="3" borderId="4" xfId="1" applyNumberFormat="1" applyFont="1" applyFill="1" applyBorder="1" applyAlignment="1">
      <alignment horizontal="center" vertical="center" wrapText="1"/>
    </xf>
    <xf numFmtId="0" fontId="32" fillId="4" borderId="4" xfId="0" applyNumberFormat="1" applyFont="1" applyFill="1" applyBorder="1" applyAlignment="1">
      <alignment horizontal="left" vertical="center" wrapText="1"/>
    </xf>
    <xf numFmtId="0" fontId="32" fillId="0" borderId="4" xfId="2" applyFont="1" applyBorder="1" applyAlignment="1" applyProtection="1">
      <alignment horizontal="center" vertical="center" wrapText="1"/>
      <protection locked="0"/>
    </xf>
    <xf numFmtId="0" fontId="28" fillId="0" borderId="4" xfId="0" applyFont="1" applyBorder="1" applyAlignment="1" applyProtection="1">
      <alignment horizontal="left" vertical="center"/>
      <protection locked="0"/>
    </xf>
    <xf numFmtId="0" fontId="28" fillId="0" borderId="20" xfId="0" applyFont="1" applyBorder="1"/>
    <xf numFmtId="0" fontId="30" fillId="0" borderId="23" xfId="0" applyFont="1" applyBorder="1"/>
    <xf numFmtId="0" fontId="28" fillId="0" borderId="22" xfId="0" applyFont="1" applyBorder="1"/>
    <xf numFmtId="0" fontId="31" fillId="3" borderId="4" xfId="1" applyNumberFormat="1" applyFont="1" applyFill="1" applyBorder="1" applyAlignment="1">
      <alignment horizontal="center" wrapText="1"/>
    </xf>
    <xf numFmtId="0" fontId="28" fillId="0" borderId="21" xfId="0" applyFont="1" applyBorder="1"/>
    <xf numFmtId="0" fontId="30" fillId="0" borderId="24" xfId="0" applyFont="1" applyBorder="1"/>
    <xf numFmtId="10" fontId="31" fillId="3" borderId="4" xfId="1" applyNumberFormat="1" applyFont="1" applyFill="1" applyBorder="1" applyAlignment="1">
      <alignment horizontal="center" wrapText="1"/>
    </xf>
    <xf numFmtId="0" fontId="0" fillId="15" borderId="0" xfId="0" applyFont="1" applyFill="1"/>
    <xf numFmtId="0" fontId="16" fillId="15" borderId="0" xfId="0" applyFont="1" applyFill="1"/>
    <xf numFmtId="10" fontId="16" fillId="15" borderId="0" xfId="0" applyNumberFormat="1" applyFont="1" applyFill="1"/>
    <xf numFmtId="10" fontId="0" fillId="15" borderId="0" xfId="0" applyNumberFormat="1" applyFont="1" applyFill="1"/>
    <xf numFmtId="0" fontId="0" fillId="13" borderId="0" xfId="0" applyFont="1" applyFill="1"/>
    <xf numFmtId="10" fontId="16" fillId="13" borderId="0" xfId="0" applyNumberFormat="1" applyFont="1" applyFill="1"/>
    <xf numFmtId="10" fontId="0" fillId="13" borderId="0" xfId="0" applyNumberFormat="1" applyFont="1" applyFill="1"/>
    <xf numFmtId="0" fontId="0" fillId="14" borderId="0" xfId="0" applyFont="1" applyFill="1"/>
    <xf numFmtId="10" fontId="16" fillId="14" borderId="0" xfId="0" applyNumberFormat="1" applyFont="1" applyFill="1"/>
    <xf numFmtId="10" fontId="0" fillId="14" borderId="0" xfId="0" applyNumberFormat="1" applyFont="1" applyFill="1"/>
    <xf numFmtId="0" fontId="0" fillId="11" borderId="0" xfId="0" applyFont="1" applyFill="1" applyAlignment="1">
      <alignment wrapText="1"/>
    </xf>
    <xf numFmtId="0" fontId="0" fillId="11" borderId="0" xfId="0" applyFont="1" applyFill="1"/>
    <xf numFmtId="0" fontId="16" fillId="11" borderId="0" xfId="0" applyFont="1" applyFill="1"/>
    <xf numFmtId="10" fontId="16" fillId="11" borderId="0" xfId="0" applyNumberFormat="1" applyFont="1" applyFill="1"/>
    <xf numFmtId="10" fontId="0" fillId="11" borderId="0" xfId="0" applyNumberFormat="1" applyFont="1" applyFill="1"/>
    <xf numFmtId="0" fontId="0" fillId="5" borderId="0" xfId="0" applyFont="1" applyFill="1" applyAlignment="1">
      <alignment wrapText="1"/>
    </xf>
    <xf numFmtId="0" fontId="0" fillId="5" borderId="0" xfId="0" applyFont="1" applyFill="1"/>
    <xf numFmtId="10" fontId="16" fillId="5" borderId="0" xfId="0" applyNumberFormat="1" applyFont="1" applyFill="1"/>
    <xf numFmtId="10" fontId="0" fillId="5" borderId="0" xfId="0" applyNumberFormat="1" applyFont="1" applyFill="1"/>
    <xf numFmtId="0" fontId="0" fillId="16" borderId="0" xfId="0" applyFont="1" applyFill="1" applyAlignment="1">
      <alignment wrapText="1"/>
    </xf>
    <xf numFmtId="0" fontId="0" fillId="16" borderId="0" xfId="0" applyFont="1" applyFill="1"/>
    <xf numFmtId="0" fontId="16" fillId="16" borderId="0" xfId="0" applyFont="1" applyFill="1"/>
    <xf numFmtId="10" fontId="16" fillId="16" borderId="0" xfId="0" applyNumberFormat="1" applyFont="1" applyFill="1"/>
    <xf numFmtId="10" fontId="0" fillId="16" borderId="0" xfId="0" applyNumberFormat="1" applyFont="1" applyFill="1"/>
    <xf numFmtId="0" fontId="33" fillId="8" borderId="0" xfId="0" applyFont="1" applyFill="1" applyBorder="1"/>
    <xf numFmtId="0" fontId="33" fillId="8" borderId="0" xfId="0" applyFont="1" applyFill="1"/>
    <xf numFmtId="0" fontId="34" fillId="8" borderId="0" xfId="0" applyFont="1" applyFill="1"/>
    <xf numFmtId="0" fontId="33" fillId="0" borderId="0" xfId="0" applyFont="1"/>
    <xf numFmtId="0" fontId="34" fillId="0" borderId="23" xfId="0" applyFont="1" applyBorder="1"/>
    <xf numFmtId="0" fontId="34" fillId="0" borderId="0" xfId="0" applyFont="1"/>
    <xf numFmtId="0" fontId="35" fillId="3" borderId="17" xfId="0" applyFont="1" applyFill="1" applyBorder="1" applyAlignment="1">
      <alignment horizontal="left"/>
    </xf>
    <xf numFmtId="0" fontId="33" fillId="3" borderId="17" xfId="0" applyFont="1" applyFill="1" applyBorder="1"/>
    <xf numFmtId="0" fontId="33" fillId="3" borderId="18" xfId="0" applyFont="1" applyFill="1" applyBorder="1"/>
    <xf numFmtId="10" fontId="36" fillId="3" borderId="4" xfId="1" applyNumberFormat="1" applyFont="1" applyFill="1" applyBorder="1" applyAlignment="1">
      <alignment horizontal="center" vertical="center" wrapText="1"/>
    </xf>
    <xf numFmtId="0" fontId="37" fillId="4" borderId="4" xfId="0" applyNumberFormat="1" applyFont="1" applyFill="1" applyBorder="1" applyAlignment="1">
      <alignment horizontal="left" vertical="center" wrapText="1"/>
    </xf>
    <xf numFmtId="0" fontId="37" fillId="0" borderId="4" xfId="2" applyFont="1" applyBorder="1" applyAlignment="1" applyProtection="1">
      <alignment horizontal="center" vertical="center" wrapText="1"/>
      <protection locked="0"/>
    </xf>
    <xf numFmtId="0" fontId="33" fillId="0" borderId="4" xfId="0" applyFont="1" applyBorder="1" applyAlignment="1" applyProtection="1">
      <alignment horizontal="left" vertical="center"/>
      <protection locked="0"/>
    </xf>
    <xf numFmtId="0" fontId="33" fillId="0" borderId="4" xfId="0" applyFont="1" applyBorder="1" applyAlignment="1" applyProtection="1">
      <alignment horizontal="left" vertical="center" wrapText="1"/>
      <protection locked="0"/>
    </xf>
    <xf numFmtId="0" fontId="33" fillId="0" borderId="20" xfId="0" applyFont="1" applyBorder="1"/>
    <xf numFmtId="0" fontId="33" fillId="0" borderId="22" xfId="0" applyFont="1" applyBorder="1"/>
    <xf numFmtId="0" fontId="35" fillId="0" borderId="23" xfId="0" applyFont="1" applyBorder="1"/>
    <xf numFmtId="0" fontId="36" fillId="3" borderId="4" xfId="1" applyNumberFormat="1" applyFont="1" applyFill="1" applyBorder="1" applyAlignment="1">
      <alignment horizontal="center" wrapText="1"/>
    </xf>
    <xf numFmtId="0" fontId="33" fillId="0" borderId="21" xfId="0" applyFont="1" applyBorder="1"/>
    <xf numFmtId="0" fontId="35" fillId="0" borderId="24" xfId="0" applyFont="1" applyBorder="1"/>
    <xf numFmtId="10" fontId="36" fillId="3" borderId="4" xfId="1" applyNumberFormat="1" applyFont="1" applyFill="1" applyBorder="1" applyAlignment="1">
      <alignment horizontal="center" wrapText="1"/>
    </xf>
    <xf numFmtId="0" fontId="13" fillId="0" borderId="4" xfId="0" applyNumberFormat="1" applyFont="1" applyFill="1" applyBorder="1" applyAlignment="1">
      <alignment horizontal="left" vertical="center" wrapText="1" indent="1"/>
    </xf>
    <xf numFmtId="0" fontId="0" fillId="0" borderId="0" xfId="0" applyFont="1" applyAlignment="1">
      <alignment wrapText="1"/>
    </xf>
    <xf numFmtId="0" fontId="8" fillId="5" borderId="0" xfId="0" applyFont="1" applyFill="1"/>
    <xf numFmtId="1" fontId="0" fillId="15" borderId="0" xfId="0" applyNumberFormat="1" applyFont="1" applyFill="1"/>
    <xf numFmtId="1" fontId="0" fillId="13" borderId="0" xfId="0" applyNumberFormat="1" applyFont="1" applyFill="1"/>
    <xf numFmtId="1" fontId="0" fillId="14" borderId="0" xfId="0" applyNumberFormat="1" applyFont="1" applyFill="1"/>
    <xf numFmtId="1" fontId="0" fillId="5" borderId="0" xfId="0" applyNumberFormat="1" applyFont="1" applyFill="1"/>
    <xf numFmtId="1" fontId="0" fillId="11" borderId="0" xfId="0" applyNumberFormat="1" applyFont="1" applyFill="1"/>
    <xf numFmtId="1" fontId="0" fillId="16" borderId="0" xfId="0" applyNumberFormat="1" applyFont="1" applyFill="1"/>
    <xf numFmtId="49" fontId="0" fillId="15" borderId="0" xfId="0" applyNumberFormat="1" applyFont="1" applyFill="1"/>
    <xf numFmtId="49" fontId="0" fillId="13" borderId="0" xfId="0" applyNumberFormat="1" applyFont="1" applyFill="1"/>
    <xf numFmtId="49" fontId="0" fillId="14" borderId="0" xfId="0" applyNumberFormat="1" applyFont="1" applyFill="1"/>
    <xf numFmtId="49" fontId="0" fillId="5" borderId="0" xfId="0" applyNumberFormat="1" applyFont="1" applyFill="1"/>
    <xf numFmtId="49" fontId="0" fillId="11" borderId="0" xfId="0" applyNumberFormat="1" applyFont="1" applyFill="1"/>
    <xf numFmtId="49" fontId="0" fillId="16" borderId="0" xfId="0" applyNumberFormat="1" applyFont="1" applyFill="1"/>
    <xf numFmtId="49" fontId="0" fillId="0" borderId="0" xfId="0" applyNumberFormat="1" applyFont="1"/>
    <xf numFmtId="0" fontId="6" fillId="6" borderId="0" xfId="0" applyFont="1" applyFill="1" applyAlignment="1">
      <alignment horizontal="left" indent="1"/>
    </xf>
    <xf numFmtId="9" fontId="0" fillId="0" borderId="0" xfId="1" applyFont="1"/>
    <xf numFmtId="0" fontId="5" fillId="0" borderId="0" xfId="0" applyFont="1"/>
    <xf numFmtId="9" fontId="5" fillId="0" borderId="0" xfId="1" applyFont="1"/>
    <xf numFmtId="9" fontId="5" fillId="0" borderId="0" xfId="0" applyNumberFormat="1" applyFont="1"/>
    <xf numFmtId="9" fontId="5" fillId="0" borderId="0" xfId="0" applyNumberFormat="1" applyFont="1" applyBorder="1"/>
    <xf numFmtId="0" fontId="38" fillId="8" borderId="0" xfId="0" applyFont="1" applyFill="1" applyBorder="1"/>
    <xf numFmtId="0" fontId="39" fillId="8" borderId="0" xfId="0" applyFont="1" applyFill="1" applyBorder="1"/>
    <xf numFmtId="0" fontId="39" fillId="8" borderId="0" xfId="0" applyFont="1" applyFill="1"/>
    <xf numFmtId="0" fontId="40" fillId="8" borderId="0" xfId="0" applyFont="1" applyFill="1"/>
    <xf numFmtId="0" fontId="39" fillId="0" borderId="0" xfId="0" applyFont="1" applyFill="1" applyBorder="1"/>
    <xf numFmtId="0" fontId="40" fillId="7" borderId="0" xfId="0" applyFont="1" applyFill="1" applyBorder="1"/>
    <xf numFmtId="0" fontId="40" fillId="7" borderId="0" xfId="0" applyFont="1" applyFill="1"/>
    <xf numFmtId="0" fontId="40" fillId="0" borderId="0" xfId="0" applyFont="1"/>
    <xf numFmtId="0" fontId="41" fillId="3" borderId="7" xfId="0" applyFont="1" applyFill="1" applyBorder="1" applyAlignment="1">
      <alignment horizontal="left"/>
    </xf>
    <xf numFmtId="0" fontId="41" fillId="3" borderId="17" xfId="0" applyFont="1" applyFill="1" applyBorder="1" applyAlignment="1">
      <alignment horizontal="left"/>
    </xf>
    <xf numFmtId="0" fontId="39" fillId="3" borderId="17" xfId="0" applyFont="1" applyFill="1" applyBorder="1"/>
    <xf numFmtId="0" fontId="39" fillId="3" borderId="18" xfId="0" applyFont="1" applyFill="1" applyBorder="1"/>
    <xf numFmtId="0" fontId="39" fillId="0" borderId="0" xfId="0" applyFont="1"/>
    <xf numFmtId="0" fontId="39" fillId="0" borderId="0" xfId="0" applyFont="1" applyFill="1"/>
    <xf numFmtId="0" fontId="40" fillId="0" borderId="0" xfId="0" applyFont="1" applyFill="1" applyBorder="1"/>
    <xf numFmtId="0" fontId="4" fillId="6" borderId="0" xfId="0" applyFont="1" applyFill="1" applyAlignment="1">
      <alignment wrapText="1"/>
    </xf>
    <xf numFmtId="49" fontId="4" fillId="6" borderId="0" xfId="0" applyNumberFormat="1" applyFont="1" applyFill="1" applyAlignment="1">
      <alignment wrapText="1"/>
    </xf>
    <xf numFmtId="0" fontId="6" fillId="6" borderId="0" xfId="0" applyFont="1" applyFill="1" applyAlignment="1">
      <alignment wrapText="1"/>
    </xf>
    <xf numFmtId="0" fontId="4" fillId="6" borderId="5" xfId="0" applyFont="1" applyFill="1" applyBorder="1" applyAlignment="1">
      <alignment horizontal="center" wrapText="1"/>
    </xf>
    <xf numFmtId="0" fontId="4" fillId="6" borderId="5" xfId="0" applyFont="1" applyFill="1" applyBorder="1" applyAlignment="1">
      <alignment wrapText="1"/>
    </xf>
    <xf numFmtId="0" fontId="22" fillId="3" borderId="5" xfId="0" applyFont="1" applyFill="1" applyBorder="1" applyAlignment="1">
      <alignment horizontal="center" vertical="center" wrapText="1"/>
    </xf>
    <xf numFmtId="0" fontId="22" fillId="3" borderId="0" xfId="0" applyFont="1" applyFill="1" applyBorder="1" applyAlignment="1">
      <alignment horizontal="center" vertical="center" wrapText="1"/>
    </xf>
    <xf numFmtId="0" fontId="22" fillId="3" borderId="6" xfId="0" applyFont="1" applyFill="1" applyBorder="1" applyAlignment="1">
      <alignment horizontal="center" vertical="center" wrapText="1"/>
    </xf>
    <xf numFmtId="0" fontId="42" fillId="7" borderId="0" xfId="0" applyFont="1" applyFill="1"/>
    <xf numFmtId="0" fontId="45" fillId="8" borderId="0" xfId="0" applyFont="1" applyFill="1" applyBorder="1"/>
    <xf numFmtId="0" fontId="46" fillId="8" borderId="0" xfId="0" applyFont="1" applyFill="1" applyBorder="1"/>
    <xf numFmtId="0" fontId="46" fillId="8" borderId="0" xfId="0" applyFont="1" applyFill="1"/>
    <xf numFmtId="0" fontId="47" fillId="8" borderId="0" xfId="0" applyFont="1" applyFill="1"/>
    <xf numFmtId="0" fontId="46" fillId="0" borderId="0" xfId="0" applyFont="1"/>
    <xf numFmtId="0" fontId="47" fillId="0" borderId="23" xfId="0" applyFont="1" applyBorder="1"/>
    <xf numFmtId="0" fontId="47" fillId="0" borderId="0" xfId="0" applyFont="1"/>
    <xf numFmtId="0" fontId="48" fillId="3" borderId="17" xfId="0" applyFont="1" applyFill="1" applyBorder="1" applyAlignment="1">
      <alignment horizontal="left"/>
    </xf>
    <xf numFmtId="0" fontId="46" fillId="3" borderId="17" xfId="0" applyFont="1" applyFill="1" applyBorder="1"/>
    <xf numFmtId="0" fontId="46" fillId="3" borderId="18" xfId="0" applyFont="1" applyFill="1" applyBorder="1"/>
    <xf numFmtId="10" fontId="49" fillId="3" borderId="4" xfId="1" applyNumberFormat="1" applyFont="1" applyFill="1" applyBorder="1" applyAlignment="1">
      <alignment horizontal="center" vertical="center" wrapText="1"/>
    </xf>
    <xf numFmtId="0" fontId="50" fillId="4" borderId="4" xfId="0" applyNumberFormat="1" applyFont="1" applyFill="1" applyBorder="1" applyAlignment="1">
      <alignment horizontal="left" vertical="center" wrapText="1"/>
    </xf>
    <xf numFmtId="0" fontId="50" fillId="0" borderId="4" xfId="2" applyFont="1" applyBorder="1" applyAlignment="1" applyProtection="1">
      <alignment horizontal="center" vertical="center" wrapText="1"/>
      <protection locked="0"/>
    </xf>
    <xf numFmtId="0" fontId="46" fillId="0" borderId="4" xfId="0" applyFont="1" applyBorder="1" applyAlignment="1" applyProtection="1">
      <alignment horizontal="left" vertical="center"/>
      <protection locked="0"/>
    </xf>
    <xf numFmtId="0" fontId="46" fillId="0" borderId="4" xfId="0" applyFont="1" applyBorder="1" applyAlignment="1" applyProtection="1">
      <alignment horizontal="left" vertical="center" wrapText="1"/>
      <protection locked="0"/>
    </xf>
    <xf numFmtId="0" fontId="46" fillId="0" borderId="20" xfId="0" applyFont="1" applyBorder="1"/>
    <xf numFmtId="0" fontId="48" fillId="0" borderId="23" xfId="0" applyFont="1" applyBorder="1"/>
    <xf numFmtId="0" fontId="46" fillId="0" borderId="22" xfId="0" applyFont="1" applyBorder="1"/>
    <xf numFmtId="0" fontId="49" fillId="3" borderId="4" xfId="1" applyNumberFormat="1" applyFont="1" applyFill="1" applyBorder="1" applyAlignment="1">
      <alignment horizontal="center" wrapText="1"/>
    </xf>
    <xf numFmtId="0" fontId="46" fillId="0" borderId="21" xfId="0" applyFont="1" applyBorder="1"/>
    <xf numFmtId="0" fontId="48" fillId="0" borderId="24" xfId="0" applyFont="1" applyBorder="1"/>
    <xf numFmtId="10" fontId="49" fillId="3" borderId="4" xfId="1" applyNumberFormat="1" applyFont="1" applyFill="1" applyBorder="1" applyAlignment="1">
      <alignment horizontal="center" wrapText="1"/>
    </xf>
    <xf numFmtId="0" fontId="9" fillId="17" borderId="7" xfId="0" applyFont="1" applyFill="1" applyBorder="1" applyAlignment="1">
      <alignment horizontal="center"/>
    </xf>
    <xf numFmtId="0" fontId="9" fillId="17" borderId="4" xfId="0" applyFont="1" applyFill="1" applyBorder="1" applyAlignment="1">
      <alignment horizontal="center"/>
    </xf>
    <xf numFmtId="0" fontId="14" fillId="17" borderId="25" xfId="2" applyFont="1" applyFill="1" applyBorder="1" applyAlignment="1" applyProtection="1">
      <alignment horizontal="center" vertical="center" wrapText="1"/>
      <protection hidden="1"/>
    </xf>
    <xf numFmtId="0" fontId="15" fillId="17" borderId="25" xfId="2" applyFont="1" applyFill="1" applyBorder="1" applyAlignment="1">
      <alignment horizontal="center" vertical="center" wrapText="1"/>
    </xf>
    <xf numFmtId="0" fontId="15" fillId="18" borderId="4" xfId="0" applyNumberFormat="1" applyFont="1" applyFill="1" applyBorder="1" applyAlignment="1">
      <alignment horizontal="left" vertical="center" wrapText="1"/>
    </xf>
    <xf numFmtId="0" fontId="27" fillId="18" borderId="4" xfId="2" applyFont="1" applyFill="1" applyBorder="1" applyAlignment="1" applyProtection="1">
      <alignment horizontal="center" vertical="center" wrapText="1"/>
      <protection locked="0"/>
    </xf>
    <xf numFmtId="9" fontId="8" fillId="18" borderId="4" xfId="1" applyFont="1" applyFill="1" applyBorder="1"/>
    <xf numFmtId="0" fontId="18" fillId="3" borderId="27" xfId="0" applyFont="1" applyFill="1" applyBorder="1"/>
    <xf numFmtId="0" fontId="18" fillId="3" borderId="28" xfId="0" applyFont="1" applyFill="1" applyBorder="1"/>
    <xf numFmtId="0" fontId="18" fillId="3" borderId="29" xfId="0" applyFont="1" applyFill="1" applyBorder="1"/>
    <xf numFmtId="0" fontId="42" fillId="7" borderId="0" xfId="0" applyFont="1" applyFill="1" applyBorder="1"/>
    <xf numFmtId="0" fontId="40" fillId="7" borderId="5" xfId="0" applyFont="1" applyFill="1" applyBorder="1"/>
    <xf numFmtId="0" fontId="40" fillId="7" borderId="6" xfId="0" applyFont="1" applyFill="1" applyBorder="1"/>
    <xf numFmtId="0" fontId="44" fillId="7" borderId="0" xfId="0" applyFont="1" applyFill="1" applyBorder="1"/>
    <xf numFmtId="0" fontId="43" fillId="7" borderId="0" xfId="0" applyFont="1" applyFill="1" applyBorder="1" applyAlignment="1"/>
    <xf numFmtId="0" fontId="40" fillId="7" borderId="27" xfId="0" applyFont="1" applyFill="1" applyBorder="1"/>
    <xf numFmtId="0" fontId="40" fillId="7" borderId="28" xfId="0" applyFont="1" applyFill="1" applyBorder="1"/>
    <xf numFmtId="0" fontId="40" fillId="7" borderId="29" xfId="0" applyFont="1" applyFill="1" applyBorder="1"/>
    <xf numFmtId="0" fontId="41" fillId="7" borderId="1" xfId="0" applyFont="1" applyFill="1" applyBorder="1" applyAlignment="1">
      <alignment horizontal="left"/>
    </xf>
    <xf numFmtId="0" fontId="41" fillId="7" borderId="2" xfId="0" applyFont="1" applyFill="1" applyBorder="1" applyAlignment="1">
      <alignment horizontal="left"/>
    </xf>
    <xf numFmtId="0" fontId="39" fillId="7" borderId="2" xfId="0" applyFont="1" applyFill="1" applyBorder="1"/>
    <xf numFmtId="0" fontId="39" fillId="0" borderId="2" xfId="0" applyFont="1" applyFill="1" applyBorder="1"/>
    <xf numFmtId="0" fontId="39" fillId="7" borderId="3" xfId="0" applyFont="1" applyFill="1" applyBorder="1"/>
    <xf numFmtId="0" fontId="8" fillId="7" borderId="6" xfId="0" applyFont="1" applyFill="1" applyBorder="1"/>
    <xf numFmtId="0" fontId="8" fillId="7" borderId="5" xfId="0" applyFont="1" applyFill="1" applyBorder="1"/>
    <xf numFmtId="0" fontId="0" fillId="7" borderId="5" xfId="0" applyFont="1" applyFill="1" applyBorder="1"/>
    <xf numFmtId="0" fontId="0" fillId="7" borderId="6" xfId="0" applyFont="1" applyFill="1" applyBorder="1"/>
    <xf numFmtId="0" fontId="0" fillId="7" borderId="27" xfId="0" applyFont="1" applyFill="1" applyBorder="1"/>
    <xf numFmtId="165" fontId="0" fillId="7" borderId="28" xfId="0" applyNumberFormat="1" applyFont="1" applyFill="1" applyBorder="1"/>
    <xf numFmtId="0" fontId="0" fillId="7" borderId="28" xfId="0" applyFont="1" applyFill="1" applyBorder="1"/>
    <xf numFmtId="0" fontId="0" fillId="7" borderId="29" xfId="0" applyFont="1" applyFill="1" applyBorder="1"/>
    <xf numFmtId="0" fontId="9" fillId="0" borderId="14" xfId="0" applyFont="1" applyBorder="1"/>
    <xf numFmtId="0" fontId="9" fillId="7" borderId="5" xfId="0" applyFont="1" applyFill="1" applyBorder="1" applyAlignment="1">
      <alignment horizontal="center" vertical="center" wrapText="1"/>
    </xf>
    <xf numFmtId="9" fontId="8" fillId="7" borderId="4" xfId="1" applyFont="1" applyFill="1" applyBorder="1" applyProtection="1">
      <protection locked="0"/>
    </xf>
    <xf numFmtId="10" fontId="12" fillId="3" borderId="4" xfId="1" applyNumberFormat="1" applyFont="1" applyFill="1" applyBorder="1" applyAlignment="1" applyProtection="1">
      <alignment horizontal="center" vertical="center" wrapText="1"/>
      <protection locked="0"/>
    </xf>
    <xf numFmtId="0" fontId="8" fillId="4" borderId="4" xfId="0" applyNumberFormat="1" applyFont="1" applyFill="1" applyBorder="1" applyAlignment="1" applyProtection="1">
      <alignment horizontal="left" vertical="center" wrapText="1"/>
      <protection locked="0"/>
    </xf>
    <xf numFmtId="10" fontId="12" fillId="3" borderId="4" xfId="1" applyNumberFormat="1" applyFont="1" applyFill="1" applyBorder="1" applyAlignment="1" applyProtection="1">
      <alignment horizontal="center" vertical="center" wrapText="1"/>
    </xf>
    <xf numFmtId="0" fontId="13" fillId="4" borderId="4" xfId="0" applyNumberFormat="1" applyFont="1" applyFill="1" applyBorder="1" applyAlignment="1" applyProtection="1">
      <alignment horizontal="left" vertical="center" wrapText="1"/>
      <protection locked="0"/>
    </xf>
    <xf numFmtId="0" fontId="8" fillId="10" borderId="4" xfId="0" applyFont="1" applyFill="1" applyBorder="1" applyAlignment="1" applyProtection="1">
      <alignment vertical="center" wrapText="1"/>
      <protection locked="0"/>
    </xf>
    <xf numFmtId="0" fontId="37" fillId="4" borderId="4" xfId="0" applyNumberFormat="1" applyFont="1" applyFill="1" applyBorder="1" applyAlignment="1" applyProtection="1">
      <alignment horizontal="left" vertical="center" wrapText="1"/>
      <protection locked="0"/>
    </xf>
    <xf numFmtId="0" fontId="32" fillId="4" borderId="4" xfId="0" applyNumberFormat="1" applyFont="1" applyFill="1" applyBorder="1" applyAlignment="1" applyProtection="1">
      <alignment horizontal="left" vertical="center" wrapText="1"/>
      <protection locked="0"/>
    </xf>
    <xf numFmtId="0" fontId="50" fillId="4" borderId="4" xfId="0" applyNumberFormat="1" applyFont="1" applyFill="1" applyBorder="1" applyAlignment="1" applyProtection="1">
      <alignment horizontal="left" vertical="center" wrapText="1"/>
      <protection locked="0"/>
    </xf>
    <xf numFmtId="10" fontId="26" fillId="3" borderId="4" xfId="1" applyNumberFormat="1" applyFont="1" applyFill="1" applyBorder="1" applyAlignment="1" applyProtection="1">
      <alignment horizontal="center" vertical="center" wrapText="1"/>
      <protection locked="0"/>
    </xf>
    <xf numFmtId="10" fontId="36" fillId="3" borderId="4" xfId="1" applyNumberFormat="1" applyFont="1" applyFill="1" applyBorder="1" applyAlignment="1" applyProtection="1">
      <alignment horizontal="center" vertical="center" wrapText="1"/>
      <protection locked="0"/>
    </xf>
    <xf numFmtId="10" fontId="31" fillId="3" borderId="4" xfId="1" applyNumberFormat="1" applyFont="1" applyFill="1" applyBorder="1" applyAlignment="1" applyProtection="1">
      <alignment horizontal="center" vertical="center" wrapText="1"/>
      <protection locked="0"/>
    </xf>
    <xf numFmtId="10" fontId="49" fillId="3" borderId="4" xfId="1" applyNumberFormat="1" applyFont="1" applyFill="1" applyBorder="1" applyAlignment="1" applyProtection="1">
      <alignment horizontal="center" vertical="center" wrapText="1"/>
      <protection locked="0"/>
    </xf>
    <xf numFmtId="9" fontId="6" fillId="6" borderId="0" xfId="0" applyNumberFormat="1" applyFont="1" applyFill="1" applyAlignment="1">
      <alignment horizontal="left" indent="1"/>
    </xf>
    <xf numFmtId="0" fontId="4" fillId="6" borderId="0" xfId="0" applyFont="1" applyFill="1" applyAlignment="1">
      <alignment horizontal="center"/>
    </xf>
    <xf numFmtId="0" fontId="13" fillId="18" borderId="4" xfId="2" applyFont="1" applyFill="1" applyBorder="1" applyAlignment="1" applyProtection="1">
      <alignment horizontal="center" vertical="center" wrapText="1"/>
      <protection locked="0"/>
    </xf>
    <xf numFmtId="0" fontId="5" fillId="7" borderId="4" xfId="0" applyFont="1" applyFill="1" applyBorder="1"/>
    <xf numFmtId="0" fontId="8" fillId="7" borderId="0" xfId="0" applyFont="1" applyFill="1" applyBorder="1" applyAlignment="1">
      <alignment horizontal="left" vertical="center" wrapText="1"/>
    </xf>
    <xf numFmtId="0" fontId="8" fillId="7" borderId="6" xfId="0" applyFont="1" applyFill="1" applyBorder="1" applyAlignment="1">
      <alignment horizontal="left" vertical="center" wrapText="1"/>
    </xf>
    <xf numFmtId="0" fontId="8" fillId="7" borderId="27" xfId="0" applyFont="1" applyFill="1" applyBorder="1" applyAlignment="1">
      <alignment horizontal="center" wrapText="1"/>
    </xf>
    <xf numFmtId="0" fontId="8" fillId="7" borderId="28" xfId="0" applyFont="1" applyFill="1" applyBorder="1" applyAlignment="1">
      <alignment horizontal="center" wrapText="1"/>
    </xf>
    <xf numFmtId="0" fontId="8" fillId="7" borderId="29" xfId="0" applyFont="1" applyFill="1" applyBorder="1" applyAlignment="1">
      <alignment horizontal="center" wrapText="1"/>
    </xf>
    <xf numFmtId="0" fontId="9" fillId="7" borderId="27" xfId="0" applyFont="1" applyFill="1" applyBorder="1" applyAlignment="1">
      <alignment horizontal="left" vertical="top" wrapText="1"/>
    </xf>
    <xf numFmtId="0" fontId="8" fillId="7" borderId="28" xfId="0" applyFont="1" applyFill="1" applyBorder="1" applyAlignment="1">
      <alignment horizontal="left" vertical="top" wrapText="1"/>
    </xf>
    <xf numFmtId="0" fontId="8" fillId="7" borderId="29" xfId="0" applyFont="1" applyFill="1" applyBorder="1" applyAlignment="1">
      <alignment horizontal="left" vertical="top" wrapText="1"/>
    </xf>
    <xf numFmtId="0" fontId="9" fillId="3" borderId="4" xfId="0" applyFont="1" applyFill="1" applyBorder="1" applyAlignment="1">
      <alignment horizontal="left"/>
    </xf>
    <xf numFmtId="0" fontId="8" fillId="7" borderId="5" xfId="0" applyFont="1" applyFill="1" applyBorder="1" applyAlignment="1">
      <alignment horizontal="left" vertical="top" wrapText="1"/>
    </xf>
    <xf numFmtId="0" fontId="8" fillId="7" borderId="0" xfId="0" applyFont="1" applyFill="1" applyBorder="1" applyAlignment="1">
      <alignment horizontal="left" vertical="top" wrapText="1"/>
    </xf>
    <xf numFmtId="0" fontId="8" fillId="7" borderId="6" xfId="0" applyFont="1" applyFill="1" applyBorder="1" applyAlignment="1">
      <alignment horizontal="left" vertical="top" wrapText="1"/>
    </xf>
    <xf numFmtId="0" fontId="9" fillId="3" borderId="30" xfId="0" applyFont="1" applyFill="1" applyBorder="1" applyAlignment="1">
      <alignment horizontal="left"/>
    </xf>
    <xf numFmtId="0" fontId="9" fillId="3" borderId="7" xfId="0" applyFont="1" applyFill="1" applyBorder="1" applyAlignment="1">
      <alignment horizontal="left"/>
    </xf>
    <xf numFmtId="0" fontId="20" fillId="3" borderId="17" xfId="0" applyFont="1" applyFill="1" applyBorder="1" applyAlignment="1">
      <alignment horizontal="left"/>
    </xf>
    <xf numFmtId="0" fontId="20" fillId="3" borderId="18" xfId="0" applyFont="1" applyFill="1" applyBorder="1" applyAlignment="1">
      <alignment horizontal="left"/>
    </xf>
    <xf numFmtId="0" fontId="20" fillId="0" borderId="4" xfId="0" applyFont="1" applyBorder="1" applyAlignment="1">
      <alignment horizontal="center"/>
    </xf>
    <xf numFmtId="0" fontId="22" fillId="3" borderId="5" xfId="0" applyFont="1" applyFill="1" applyBorder="1" applyAlignment="1">
      <alignment horizontal="center" vertical="center" wrapText="1"/>
    </xf>
    <xf numFmtId="0" fontId="22" fillId="3" borderId="0" xfId="0" applyFont="1" applyFill="1" applyBorder="1" applyAlignment="1">
      <alignment horizontal="center" vertical="center" wrapText="1"/>
    </xf>
    <xf numFmtId="0" fontId="22" fillId="3" borderId="6" xfId="0" applyFont="1" applyFill="1" applyBorder="1" applyAlignment="1">
      <alignment horizontal="center" vertical="center" wrapText="1"/>
    </xf>
    <xf numFmtId="0" fontId="9" fillId="17" borderId="7" xfId="0" applyFont="1" applyFill="1" applyBorder="1" applyAlignment="1">
      <alignment horizontal="center"/>
    </xf>
    <xf numFmtId="0" fontId="20" fillId="17" borderId="17" xfId="0" applyFont="1" applyFill="1" applyBorder="1" applyAlignment="1">
      <alignment horizontal="center"/>
    </xf>
    <xf numFmtId="0" fontId="20" fillId="17" borderId="18" xfId="0" applyFont="1" applyFill="1" applyBorder="1" applyAlignment="1">
      <alignment horizontal="center"/>
    </xf>
    <xf numFmtId="0" fontId="10" fillId="0" borderId="4" xfId="0" applyFont="1" applyBorder="1" applyAlignment="1">
      <alignment horizontal="center" vertical="top" wrapText="1"/>
    </xf>
    <xf numFmtId="0" fontId="21" fillId="0" borderId="4" xfId="0" applyFont="1" applyBorder="1" applyAlignment="1">
      <alignment horizontal="center" vertical="top" wrapText="1"/>
    </xf>
    <xf numFmtId="0" fontId="21" fillId="0" borderId="4" xfId="0" applyFont="1" applyBorder="1" applyAlignment="1">
      <alignment horizontal="center"/>
    </xf>
    <xf numFmtId="0" fontId="42" fillId="7" borderId="0" xfId="0" applyFont="1" applyFill="1" applyBorder="1"/>
    <xf numFmtId="0" fontId="42" fillId="7" borderId="6" xfId="0" applyFont="1" applyFill="1" applyBorder="1"/>
    <xf numFmtId="0" fontId="42" fillId="7" borderId="5" xfId="0" applyFont="1" applyFill="1" applyBorder="1"/>
    <xf numFmtId="0" fontId="43" fillId="7" borderId="0" xfId="0" applyFont="1" applyFill="1" applyBorder="1" applyAlignment="1"/>
    <xf numFmtId="0" fontId="15" fillId="3" borderId="7" xfId="2" applyFont="1" applyFill="1" applyBorder="1" applyAlignment="1">
      <alignment horizontal="left" wrapText="1"/>
    </xf>
    <xf numFmtId="0" fontId="15" fillId="3" borderId="17" xfId="2" applyFont="1" applyFill="1" applyBorder="1" applyAlignment="1">
      <alignment horizontal="left" wrapText="1"/>
    </xf>
    <xf numFmtId="0" fontId="15" fillId="3" borderId="18" xfId="2" applyFont="1" applyFill="1" applyBorder="1" applyAlignment="1">
      <alignment horizontal="left" wrapText="1"/>
    </xf>
    <xf numFmtId="0" fontId="15" fillId="17" borderId="7" xfId="2" applyFont="1" applyFill="1" applyBorder="1" applyAlignment="1" applyProtection="1">
      <alignment horizontal="center" vertical="center" wrapText="1"/>
      <protection hidden="1"/>
    </xf>
    <xf numFmtId="0" fontId="15" fillId="17" borderId="18" xfId="2" applyFont="1" applyFill="1" applyBorder="1" applyAlignment="1" applyProtection="1">
      <alignment horizontal="center" vertical="center" wrapText="1"/>
      <protection hidden="1"/>
    </xf>
    <xf numFmtId="0" fontId="9" fillId="3" borderId="17" xfId="0" applyFont="1" applyFill="1" applyBorder="1" applyAlignment="1">
      <alignment horizontal="left"/>
    </xf>
    <xf numFmtId="0" fontId="25" fillId="3" borderId="17" xfId="0" applyFont="1" applyFill="1" applyBorder="1" applyAlignment="1">
      <alignment horizontal="left"/>
    </xf>
    <xf numFmtId="0" fontId="35" fillId="3" borderId="17" xfId="0" applyFont="1" applyFill="1" applyBorder="1" applyAlignment="1">
      <alignment horizontal="left"/>
    </xf>
    <xf numFmtId="0" fontId="30" fillId="3" borderId="17" xfId="0" applyFont="1" applyFill="1" applyBorder="1" applyAlignment="1">
      <alignment horizontal="left"/>
    </xf>
    <xf numFmtId="0" fontId="48" fillId="3" borderId="17" xfId="0" applyFont="1" applyFill="1" applyBorder="1" applyAlignment="1">
      <alignment horizontal="left"/>
    </xf>
  </cellXfs>
  <cellStyles count="5">
    <cellStyle name="Normal 2" xfId="2" xr:uid="{00000000-0005-0000-0000-000000000000}"/>
    <cellStyle name="Normal 3" xfId="3" xr:uid="{00000000-0005-0000-0000-000001000000}"/>
    <cellStyle name="Prozent" xfId="1" builtinId="5"/>
    <cellStyle name="Standard" xfId="0" builtinId="0"/>
    <cellStyle name="Standard 2" xfId="4" xr:uid="{00000000-0005-0000-0000-000004000000}"/>
  </cellStyles>
  <dxfs count="43">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5050"/>
        </patternFill>
      </fill>
    </dxf>
    <dxf>
      <fill>
        <patternFill>
          <bgColor rgb="FF92D050"/>
        </patternFill>
      </fill>
    </dxf>
    <dxf>
      <fill>
        <patternFill>
          <bgColor rgb="FFFF5050"/>
        </patternFill>
      </fill>
    </dxf>
    <dxf>
      <fill>
        <patternFill>
          <bgColor rgb="FF92D050"/>
        </patternFill>
      </fill>
    </dxf>
    <dxf>
      <font>
        <condense val="0"/>
        <extend val="0"/>
        <color rgb="FF9C0006"/>
      </font>
      <fill>
        <patternFill>
          <bgColor rgb="FFFFC7CE"/>
        </patternFill>
      </fill>
      <border>
        <left style="thin">
          <color auto="1"/>
        </left>
        <right style="thin">
          <color auto="1"/>
        </right>
        <top style="thin">
          <color auto="1"/>
        </top>
        <bottom style="thin">
          <color auto="1"/>
        </bottom>
      </border>
    </dxf>
    <dxf>
      <font>
        <condense val="0"/>
        <extend val="0"/>
        <color rgb="FF9C0006"/>
      </font>
      <fill>
        <patternFill>
          <bgColor rgb="FFFFC7CE"/>
        </patternFill>
      </fill>
      <border>
        <left style="thin">
          <color auto="1"/>
        </left>
        <right style="thin">
          <color auto="1"/>
        </right>
        <top style="thin">
          <color auto="1"/>
        </top>
        <bottom style="thin">
          <color auto="1"/>
        </bottom>
      </border>
    </dxf>
    <dxf>
      <font>
        <condense val="0"/>
        <extend val="0"/>
        <color rgb="FF9C0006"/>
      </font>
      <fill>
        <patternFill>
          <bgColor rgb="FFFFC7CE"/>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FF5050"/>
      <color rgb="FFCC000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0.25470643818162975"/>
          <c:y val="0.14879372827453588"/>
          <c:w val="0.51451050677591026"/>
          <c:h val="0.79569965239257456"/>
        </c:manualLayout>
      </c:layout>
      <c:radarChart>
        <c:radarStyle val="marker"/>
        <c:varyColors val="0"/>
        <c:ser>
          <c:idx val="0"/>
          <c:order val="0"/>
          <c:spPr>
            <a:ln w="34925" cap="rnd">
              <a:solidFill>
                <a:srgbClr val="C00000"/>
              </a:solidFill>
              <a:round/>
            </a:ln>
            <a:effectLst>
              <a:outerShdw blurRad="40000" dist="23000" dir="5400000" rotWithShape="0">
                <a:srgbClr val="000000">
                  <a:alpha val="35000"/>
                </a:srgbClr>
              </a:outerShdw>
            </a:effectLst>
          </c:spPr>
          <c:marker>
            <c:symbol val="none"/>
          </c:marker>
          <c:dPt>
            <c:idx val="0"/>
            <c:marker>
              <c:symbol val="none"/>
            </c:marker>
            <c:bubble3D val="0"/>
            <c:spPr>
              <a:ln w="34925" cap="rnd">
                <a:solidFill>
                  <a:srgbClr val="0070C0"/>
                </a:solidFill>
                <a:round/>
              </a:ln>
              <a:effectLst>
                <a:outerShdw blurRad="40000" dist="23000" dir="5400000" rotWithShape="0">
                  <a:srgbClr val="000000">
                    <a:alpha val="35000"/>
                  </a:srgbClr>
                </a:outerShdw>
              </a:effectLst>
            </c:spPr>
            <c:extLst>
              <c:ext xmlns:c16="http://schemas.microsoft.com/office/drawing/2014/chart" uri="{C3380CC4-5D6E-409C-BE32-E72D297353CC}">
                <c16:uniqueId val="{00000002-3517-4326-B223-C6B463C49E18}"/>
              </c:ext>
            </c:extLst>
          </c:dPt>
          <c:dPt>
            <c:idx val="1"/>
            <c:marker>
              <c:symbol val="none"/>
            </c:marker>
            <c:bubble3D val="0"/>
            <c:spPr>
              <a:ln w="34925" cap="rnd">
                <a:solidFill>
                  <a:srgbClr val="0070C0"/>
                </a:solidFill>
                <a:round/>
              </a:ln>
              <a:effectLst>
                <a:outerShdw blurRad="40000" dist="23000" dir="5400000" rotWithShape="0">
                  <a:srgbClr val="000000">
                    <a:alpha val="35000"/>
                  </a:srgbClr>
                </a:outerShdw>
              </a:effectLst>
            </c:spPr>
            <c:extLst>
              <c:ext xmlns:c16="http://schemas.microsoft.com/office/drawing/2014/chart" uri="{C3380CC4-5D6E-409C-BE32-E72D297353CC}">
                <c16:uniqueId val="{00000001-3517-4326-B223-C6B463C49E18}"/>
              </c:ext>
            </c:extLst>
          </c:dPt>
          <c:dPt>
            <c:idx val="2"/>
            <c:marker>
              <c:symbol val="none"/>
            </c:marker>
            <c:bubble3D val="0"/>
            <c:spPr>
              <a:ln w="34925" cap="rnd">
                <a:solidFill>
                  <a:srgbClr val="0070C0"/>
                </a:solidFill>
                <a:round/>
              </a:ln>
              <a:effectLst>
                <a:outerShdw blurRad="40000" dist="23000" dir="5400000" rotWithShape="0">
                  <a:srgbClr val="000000">
                    <a:alpha val="35000"/>
                  </a:srgbClr>
                </a:outerShdw>
              </a:effectLst>
            </c:spPr>
            <c:extLst>
              <c:ext xmlns:c16="http://schemas.microsoft.com/office/drawing/2014/chart" uri="{C3380CC4-5D6E-409C-BE32-E72D297353CC}">
                <c16:uniqueId val="{00000000-3517-4326-B223-C6B463C49E18}"/>
              </c:ext>
            </c:extLst>
          </c:dPt>
          <c:cat>
            <c:strRef>
              <c:f>'Scoring Summary'!$A$6:$A$8</c:f>
              <c:strCache>
                <c:ptCount val="3"/>
                <c:pt idx="0">
                  <c:v>Cloud Konzepte</c:v>
                </c:pt>
                <c:pt idx="1">
                  <c:v>Ziele und Visionen</c:v>
                </c:pt>
                <c:pt idx="2">
                  <c:v>Strategische Projekte</c:v>
                </c:pt>
              </c:strCache>
            </c:strRef>
          </c:cat>
          <c:val>
            <c:numRef>
              <c:f>'Scoring Summary'!$B$6:$B$8</c:f>
              <c:numCache>
                <c:formatCode>0%</c:formatCode>
                <c:ptCount val="3"/>
                <c:pt idx="0">
                  <c:v>0.62857142857142856</c:v>
                </c:pt>
                <c:pt idx="1">
                  <c:v>0.48571428571428571</c:v>
                </c:pt>
                <c:pt idx="2">
                  <c:v>0.99999999999999978</c:v>
                </c:pt>
              </c:numCache>
            </c:numRef>
          </c:val>
          <c:extLst>
            <c:ext xmlns:c16="http://schemas.microsoft.com/office/drawing/2014/chart" uri="{C3380CC4-5D6E-409C-BE32-E72D297353CC}">
              <c16:uniqueId val="{00000000-763D-428D-8DC2-F1CC0BE36757}"/>
            </c:ext>
          </c:extLst>
        </c:ser>
        <c:dLbls>
          <c:showLegendKey val="0"/>
          <c:showVal val="0"/>
          <c:showCatName val="0"/>
          <c:showSerName val="0"/>
          <c:showPercent val="0"/>
          <c:showBubbleSize val="0"/>
        </c:dLbls>
        <c:axId val="312251104"/>
        <c:axId val="312251496"/>
      </c:radarChart>
      <c:catAx>
        <c:axId val="3122511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12251496"/>
        <c:crosses val="autoZero"/>
        <c:auto val="1"/>
        <c:lblAlgn val="ctr"/>
        <c:lblOffset val="100"/>
        <c:noMultiLvlLbl val="0"/>
      </c:catAx>
      <c:valAx>
        <c:axId val="312251496"/>
        <c:scaling>
          <c:orientation val="minMax"/>
          <c:max val="1"/>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312251104"/>
        <c:crosses val="autoZero"/>
        <c:crossBetween val="between"/>
      </c:valAx>
      <c:spPr>
        <a:gradFill flip="none" rotWithShape="1">
          <a:gsLst>
            <a:gs pos="0">
              <a:srgbClr val="C00000"/>
            </a:gs>
            <a:gs pos="53000">
              <a:srgbClr val="00B050"/>
            </a:gs>
            <a:gs pos="65000">
              <a:srgbClr val="00B050">
                <a:alpha val="0"/>
              </a:srgbClr>
            </a:gs>
          </a:gsLst>
          <a:path path="circle">
            <a:fillToRect l="50000" t="50000" r="50000" b="50000"/>
          </a:path>
          <a:tileRect/>
        </a:gradFill>
        <a:ln>
          <a:noFill/>
        </a:ln>
        <a:effectLst/>
      </c:spPr>
    </c:plotArea>
    <c:plotVisOnly val="1"/>
    <c:dispBlanksAs val="gap"/>
    <c:showDLblsOverMax val="0"/>
  </c:chart>
  <c:spPr>
    <a:gradFill flip="none" rotWithShape="1">
      <a:gsLst>
        <a:gs pos="30000">
          <a:schemeClr val="tx1"/>
        </a:gs>
        <a:gs pos="0">
          <a:srgbClr val="00B0F0"/>
        </a:gs>
        <a:gs pos="70000">
          <a:schemeClr val="tx1"/>
        </a:gs>
        <a:gs pos="100000">
          <a:srgbClr val="00B0F0"/>
        </a:gs>
      </a:gsLst>
      <a:path path="circle">
        <a:fillToRect l="100000" t="100000"/>
      </a:path>
      <a:tileRect r="-100000" b="-100000"/>
    </a:gradFill>
    <a:ln>
      <a:noFill/>
    </a:ln>
    <a:effectLst/>
  </c:spPr>
  <c:txPr>
    <a:bodyPr/>
    <a:lstStyle/>
    <a:p>
      <a:pPr>
        <a:defRPr/>
      </a:pPr>
      <a:endParaRPr lang="de-DE"/>
    </a:p>
  </c:txPr>
  <c:printSettings>
    <c:headerFooter/>
    <c:pageMargins b="0.75000000000000389" l="0.70000000000000062" r="0.70000000000000062" t="0.750000000000003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0"/>
    <c:plotArea>
      <c:layout>
        <c:manualLayout>
          <c:layoutTarget val="inner"/>
          <c:xMode val="edge"/>
          <c:yMode val="edge"/>
          <c:x val="0.24447118637868287"/>
          <c:y val="0.14794282967236153"/>
          <c:w val="0.52321220212513031"/>
          <c:h val="0.79345240736631906"/>
        </c:manualLayout>
      </c:layout>
      <c:radarChart>
        <c:radarStyle val="marker"/>
        <c:varyColors val="0"/>
        <c:ser>
          <c:idx val="0"/>
          <c:order val="0"/>
          <c:spPr>
            <a:ln w="34925" cap="rnd">
              <a:solidFill>
                <a:srgbClr val="00B050"/>
              </a:solidFill>
              <a:round/>
            </a:ln>
            <a:effectLst>
              <a:outerShdw blurRad="40000" dist="23000" dir="5400000" rotWithShape="0">
                <a:srgbClr val="000000">
                  <a:alpha val="35000"/>
                </a:srgbClr>
              </a:outerShdw>
            </a:effectLst>
          </c:spPr>
          <c:marker>
            <c:symbol val="none"/>
          </c:marker>
          <c:cat>
            <c:strRef>
              <c:f>'Scoring Summary'!$A$10:$A$12</c:f>
              <c:strCache>
                <c:ptCount val="3"/>
                <c:pt idx="0">
                  <c:v>Cloud Services</c:v>
                </c:pt>
                <c:pt idx="1">
                  <c:v>IT Service Management</c:v>
                </c:pt>
                <c:pt idx="2">
                  <c:v>IT Asset Management</c:v>
                </c:pt>
              </c:strCache>
            </c:strRef>
          </c:cat>
          <c:val>
            <c:numRef>
              <c:f>'Scoring Summary'!$B$10:$B$12</c:f>
              <c:numCache>
                <c:formatCode>0%</c:formatCode>
                <c:ptCount val="3"/>
                <c:pt idx="0">
                  <c:v>0.46666666666666667</c:v>
                </c:pt>
                <c:pt idx="1">
                  <c:v>0.43461538461538468</c:v>
                </c:pt>
                <c:pt idx="2">
                  <c:v>0.96</c:v>
                </c:pt>
              </c:numCache>
            </c:numRef>
          </c:val>
          <c:extLst>
            <c:ext xmlns:c16="http://schemas.microsoft.com/office/drawing/2014/chart" uri="{C3380CC4-5D6E-409C-BE32-E72D297353CC}">
              <c16:uniqueId val="{00000000-8ED6-4539-AE40-1395982EC1BB}"/>
            </c:ext>
          </c:extLst>
        </c:ser>
        <c:dLbls>
          <c:showLegendKey val="0"/>
          <c:showVal val="0"/>
          <c:showCatName val="0"/>
          <c:showSerName val="0"/>
          <c:showPercent val="0"/>
          <c:showBubbleSize val="0"/>
        </c:dLbls>
        <c:axId val="360988288"/>
        <c:axId val="360988680"/>
      </c:radarChart>
      <c:catAx>
        <c:axId val="3609882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0988680"/>
        <c:crosses val="autoZero"/>
        <c:auto val="1"/>
        <c:lblAlgn val="ctr"/>
        <c:lblOffset val="100"/>
        <c:noMultiLvlLbl val="0"/>
      </c:catAx>
      <c:valAx>
        <c:axId val="360988680"/>
        <c:scaling>
          <c:orientation val="minMax"/>
          <c:max val="1"/>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360988288"/>
        <c:crosses val="autoZero"/>
        <c:crossBetween val="between"/>
      </c:valAx>
      <c:spPr>
        <a:gradFill>
          <a:gsLst>
            <a:gs pos="0">
              <a:srgbClr val="C00000"/>
            </a:gs>
            <a:gs pos="53000">
              <a:srgbClr val="00B050"/>
            </a:gs>
            <a:gs pos="65000">
              <a:srgbClr val="00B050">
                <a:alpha val="0"/>
              </a:srgbClr>
            </a:gs>
          </a:gsLst>
          <a:path path="circle">
            <a:fillToRect l="50000" t="50000" r="50000" b="50000"/>
          </a:path>
        </a:gradFill>
        <a:ln>
          <a:noFill/>
        </a:ln>
        <a:effectLst/>
      </c:spPr>
    </c:plotArea>
    <c:plotVisOnly val="1"/>
    <c:dispBlanksAs val="gap"/>
    <c:showDLblsOverMax val="0"/>
  </c:chart>
  <c:spPr>
    <a:gradFill flip="none" rotWithShape="1">
      <a:gsLst>
        <a:gs pos="30000">
          <a:schemeClr val="tx1"/>
        </a:gs>
        <a:gs pos="0">
          <a:srgbClr val="00B050"/>
        </a:gs>
        <a:gs pos="70000">
          <a:schemeClr val="tx1"/>
        </a:gs>
        <a:gs pos="100000">
          <a:srgbClr val="00B050"/>
        </a:gs>
      </a:gsLst>
      <a:path path="circle">
        <a:fillToRect l="100000" t="100000"/>
      </a:path>
      <a:tileRect r="-100000" b="-100000"/>
    </a:gradFill>
    <a:ln>
      <a:noFill/>
    </a:ln>
    <a:effectLst/>
  </c:spPr>
  <c:txPr>
    <a:bodyPr/>
    <a:lstStyle/>
    <a:p>
      <a:pPr>
        <a:defRPr/>
      </a:pPr>
      <a:endParaRPr lang="de-DE"/>
    </a:p>
  </c:txPr>
  <c:printSettings>
    <c:headerFooter/>
    <c:pageMargins b="0.750000000000004" l="0.70000000000000062" r="0.70000000000000062" t="0.75000000000000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3611891642034327"/>
          <c:y val="0.14496934530326255"/>
          <c:w val="0.51911153280054501"/>
          <c:h val="0.77869571564119411"/>
        </c:manualLayout>
      </c:layout>
      <c:radarChart>
        <c:radarStyle val="marker"/>
        <c:varyColors val="0"/>
        <c:ser>
          <c:idx val="0"/>
          <c:order val="0"/>
          <c:spPr>
            <a:ln w="34925" cap="rnd">
              <a:solidFill>
                <a:srgbClr val="FFFF00"/>
              </a:solidFill>
              <a:round/>
            </a:ln>
            <a:effectLst>
              <a:outerShdw blurRad="40000" dist="23000" dir="5400000" rotWithShape="0">
                <a:srgbClr val="000000">
                  <a:alpha val="35000"/>
                </a:srgbClr>
              </a:outerShdw>
            </a:effectLst>
          </c:spPr>
          <c:marker>
            <c:symbol val="none"/>
          </c:marker>
          <c:dLbls>
            <c:delete val="1"/>
          </c:dLbls>
          <c:cat>
            <c:strRef>
              <c:f>'Scoring Summary'!$A$18:$A$20</c:f>
              <c:strCache>
                <c:ptCount val="3"/>
                <c:pt idx="0">
                  <c:v>Cloud Kompetenzen</c:v>
                </c:pt>
                <c:pt idx="1">
                  <c:v>Personalentwicklung</c:v>
                </c:pt>
                <c:pt idx="2">
                  <c:v>Wissensmanagement</c:v>
                </c:pt>
              </c:strCache>
            </c:strRef>
          </c:cat>
          <c:val>
            <c:numRef>
              <c:f>'Scoring Summary'!$B$18:$B$20</c:f>
              <c:numCache>
                <c:formatCode>0%</c:formatCode>
                <c:ptCount val="3"/>
                <c:pt idx="0">
                  <c:v>0.84000000000000008</c:v>
                </c:pt>
                <c:pt idx="1">
                  <c:v>0.65714285714285703</c:v>
                </c:pt>
                <c:pt idx="2">
                  <c:v>0.74285714285714288</c:v>
                </c:pt>
              </c:numCache>
            </c:numRef>
          </c:val>
          <c:extLst>
            <c:ext xmlns:c16="http://schemas.microsoft.com/office/drawing/2014/chart" uri="{C3380CC4-5D6E-409C-BE32-E72D297353CC}">
              <c16:uniqueId val="{00000003-65D0-4082-B919-F4439975D665}"/>
            </c:ext>
          </c:extLst>
        </c:ser>
        <c:dLbls>
          <c:showLegendKey val="0"/>
          <c:showVal val="1"/>
          <c:showCatName val="0"/>
          <c:showSerName val="0"/>
          <c:showPercent val="0"/>
          <c:showBubbleSize val="0"/>
        </c:dLbls>
        <c:axId val="360987504"/>
        <c:axId val="360986328"/>
      </c:radarChart>
      <c:catAx>
        <c:axId val="3609875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0986328"/>
        <c:crosses val="autoZero"/>
        <c:auto val="1"/>
        <c:lblAlgn val="ctr"/>
        <c:lblOffset val="100"/>
        <c:noMultiLvlLbl val="0"/>
      </c:catAx>
      <c:valAx>
        <c:axId val="360986328"/>
        <c:scaling>
          <c:orientation val="minMax"/>
          <c:max val="1"/>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360987504"/>
        <c:crosses val="autoZero"/>
        <c:crossBetween val="between"/>
      </c:valAx>
      <c:spPr>
        <a:gradFill>
          <a:gsLst>
            <a:gs pos="0">
              <a:srgbClr val="C00000"/>
            </a:gs>
            <a:gs pos="53000">
              <a:srgbClr val="00B050"/>
            </a:gs>
            <a:gs pos="65000">
              <a:srgbClr val="00B050">
                <a:alpha val="0"/>
              </a:srgbClr>
            </a:gs>
          </a:gsLst>
          <a:path path="circle">
            <a:fillToRect l="50000" t="50000" r="50000" b="50000"/>
          </a:path>
        </a:gradFill>
        <a:ln>
          <a:noFill/>
        </a:ln>
        <a:effectLst/>
      </c:spPr>
    </c:plotArea>
    <c:plotVisOnly val="1"/>
    <c:dispBlanksAs val="gap"/>
    <c:showDLblsOverMax val="0"/>
  </c:chart>
  <c:spPr>
    <a:gradFill flip="none" rotWithShape="1">
      <a:gsLst>
        <a:gs pos="30000">
          <a:schemeClr val="tx1"/>
        </a:gs>
        <a:gs pos="0">
          <a:srgbClr val="FFFF00"/>
        </a:gs>
        <a:gs pos="70000">
          <a:schemeClr val="tx1"/>
        </a:gs>
        <a:gs pos="100000">
          <a:srgbClr val="FFFF00"/>
        </a:gs>
      </a:gsLst>
      <a:path path="circle">
        <a:fillToRect l="100000" t="100000"/>
      </a:path>
      <a:tileRect r="-100000" b="-100000"/>
    </a:gradFill>
    <a:ln>
      <a:noFill/>
    </a:ln>
    <a:effectLst/>
  </c:spPr>
  <c:txPr>
    <a:bodyPr/>
    <a:lstStyle/>
    <a:p>
      <a:pPr>
        <a:defRPr/>
      </a:pPr>
      <a:endParaRPr lang="de-DE"/>
    </a:p>
  </c:txPr>
  <c:printSettings>
    <c:headerFooter/>
    <c:pageMargins b="0.75000000000000411" l="0.70000000000000062" r="0.70000000000000062" t="0.750000000000004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manualLayout>
          <c:layoutTarget val="inner"/>
          <c:xMode val="edge"/>
          <c:yMode val="edge"/>
          <c:x val="0.24620078093639383"/>
          <c:y val="0.14034132090821685"/>
          <c:w val="0.53051344743276285"/>
          <c:h val="0.81033725316174843"/>
        </c:manualLayout>
      </c:layout>
      <c:radarChart>
        <c:radarStyle val="marker"/>
        <c:varyColors val="0"/>
        <c:ser>
          <c:idx val="0"/>
          <c:order val="0"/>
          <c:spPr>
            <a:ln w="34925" cap="rnd">
              <a:solidFill>
                <a:srgbClr val="92D050"/>
              </a:solidFill>
              <a:round/>
            </a:ln>
            <a:effectLst>
              <a:outerShdw blurRad="40000" dist="23000" dir="5400000" rotWithShape="0">
                <a:srgbClr val="000000">
                  <a:alpha val="35000"/>
                </a:srgbClr>
              </a:outerShdw>
            </a:effectLst>
          </c:spPr>
          <c:marker>
            <c:symbol val="none"/>
          </c:marker>
          <c:cat>
            <c:strRef>
              <c:f>'Scoring Summary'!$A$14:$A$16</c:f>
              <c:strCache>
                <c:ptCount val="3"/>
                <c:pt idx="0">
                  <c:v>Cloud Technologien</c:v>
                </c:pt>
                <c:pt idx="1">
                  <c:v>IT Lifecycle</c:v>
                </c:pt>
                <c:pt idx="2">
                  <c:v>IT Security und Datenschutz</c:v>
                </c:pt>
              </c:strCache>
            </c:strRef>
          </c:cat>
          <c:val>
            <c:numRef>
              <c:f>'Scoring Summary'!$B$14:$B$16</c:f>
              <c:numCache>
                <c:formatCode>0%</c:formatCode>
                <c:ptCount val="3"/>
                <c:pt idx="0">
                  <c:v>0.45714285714285713</c:v>
                </c:pt>
                <c:pt idx="1">
                  <c:v>0.5</c:v>
                </c:pt>
                <c:pt idx="2">
                  <c:v>0.44000000000000006</c:v>
                </c:pt>
              </c:numCache>
            </c:numRef>
          </c:val>
          <c:extLst>
            <c:ext xmlns:c16="http://schemas.microsoft.com/office/drawing/2014/chart" uri="{C3380CC4-5D6E-409C-BE32-E72D297353CC}">
              <c16:uniqueId val="{00000000-73E6-44D0-90A5-D946AA0FF8C1}"/>
            </c:ext>
          </c:extLst>
        </c:ser>
        <c:dLbls>
          <c:showLegendKey val="0"/>
          <c:showVal val="0"/>
          <c:showCatName val="0"/>
          <c:showSerName val="0"/>
          <c:showPercent val="0"/>
          <c:showBubbleSize val="0"/>
        </c:dLbls>
        <c:axId val="360989072"/>
        <c:axId val="360987896"/>
      </c:radarChart>
      <c:catAx>
        <c:axId val="360989072"/>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0987896"/>
        <c:crosses val="autoZero"/>
        <c:auto val="1"/>
        <c:lblAlgn val="ctr"/>
        <c:lblOffset val="100"/>
        <c:noMultiLvlLbl val="0"/>
      </c:catAx>
      <c:valAx>
        <c:axId val="360987896"/>
        <c:scaling>
          <c:orientation val="minMax"/>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360989072"/>
        <c:crosses val="autoZero"/>
        <c:crossBetween val="between"/>
      </c:valAx>
      <c:spPr>
        <a:gradFill flip="none" rotWithShape="1">
          <a:gsLst>
            <a:gs pos="0">
              <a:srgbClr val="C00000"/>
            </a:gs>
            <a:gs pos="53000">
              <a:srgbClr val="00B050"/>
            </a:gs>
            <a:gs pos="65000">
              <a:srgbClr val="00B050">
                <a:alpha val="0"/>
              </a:srgbClr>
            </a:gs>
          </a:gsLst>
          <a:path path="circle">
            <a:fillToRect l="50000" t="50000" r="50000" b="50000"/>
          </a:path>
          <a:tileRect/>
        </a:gradFill>
        <a:ln>
          <a:noFill/>
        </a:ln>
        <a:effectLst/>
      </c:spPr>
    </c:plotArea>
    <c:plotVisOnly val="1"/>
    <c:dispBlanksAs val="gap"/>
    <c:showDLblsOverMax val="0"/>
  </c:chart>
  <c:spPr>
    <a:gradFill flip="none" rotWithShape="1">
      <a:gsLst>
        <a:gs pos="30000">
          <a:schemeClr val="tx1"/>
        </a:gs>
        <a:gs pos="0">
          <a:srgbClr val="92D050"/>
        </a:gs>
        <a:gs pos="70000">
          <a:schemeClr val="tx1"/>
        </a:gs>
        <a:gs pos="100000">
          <a:srgbClr val="92D050"/>
        </a:gs>
      </a:gsLst>
      <a:path path="circle">
        <a:fillToRect l="100000" t="100000"/>
      </a:path>
      <a:tileRect r="-100000" b="-100000"/>
    </a:gradFill>
    <a:ln>
      <a:noFill/>
    </a:ln>
    <a:effectLst/>
  </c:spPr>
  <c:txPr>
    <a:bodyPr/>
    <a:lstStyle/>
    <a:p>
      <a:pPr>
        <a:defRPr/>
      </a:pPr>
      <a:endParaRPr lang="de-DE"/>
    </a:p>
  </c:txPr>
  <c:printSettings>
    <c:headerFooter/>
    <c:pageMargins b="0.75000000000000189" l="0.70000000000000062" r="0.70000000000000062" t="0.7500000000000018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manualLayout>
          <c:layoutTarget val="inner"/>
          <c:xMode val="edge"/>
          <c:yMode val="edge"/>
          <c:x val="0.18557589085148143"/>
          <c:y val="0.26771768470346591"/>
          <c:w val="0.62977962214182681"/>
          <c:h val="0.45467008861232294"/>
        </c:manualLayout>
      </c:layout>
      <c:radarChart>
        <c:radarStyle val="marker"/>
        <c:varyColors val="0"/>
        <c:ser>
          <c:idx val="0"/>
          <c:order val="0"/>
          <c:spPr>
            <a:ln w="15875" cap="rnd">
              <a:solidFill>
                <a:schemeClr val="accent6"/>
              </a:solidFill>
              <a:round/>
            </a:ln>
            <a:effectLst>
              <a:outerShdw blurRad="40000" dist="20000" dir="5400000" rotWithShape="0">
                <a:srgbClr val="000000">
                  <a:alpha val="38000"/>
                </a:srgbClr>
              </a:outerShdw>
            </a:effectLst>
          </c:spPr>
          <c:marker>
            <c:symbol val="none"/>
          </c:marker>
          <c:cat>
            <c:strRef>
              <c:f>'Scoring Summary'!$A$31:$A$36</c:f>
              <c:strCache>
                <c:ptCount val="6"/>
                <c:pt idx="0">
                  <c:v>IT Strategie und Planung</c:v>
                </c:pt>
                <c:pt idx="1">
                  <c:v>IT Services und Prozesse</c:v>
                </c:pt>
                <c:pt idx="2">
                  <c:v>IT Infrastruktur</c:v>
                </c:pt>
                <c:pt idx="3">
                  <c:v>Personal und Kompetenzen</c:v>
                </c:pt>
                <c:pt idx="4">
                  <c:v>Organisation und Governance</c:v>
                </c:pt>
                <c:pt idx="5">
                  <c:v>Sourcing</c:v>
                </c:pt>
              </c:strCache>
            </c:strRef>
          </c:cat>
          <c:val>
            <c:numRef>
              <c:f>'Scoring Summary'!$B$31:$B$36</c:f>
              <c:numCache>
                <c:formatCode>0.0%</c:formatCode>
                <c:ptCount val="6"/>
                <c:pt idx="0">
                  <c:v>0.7047619047619047</c:v>
                </c:pt>
                <c:pt idx="1">
                  <c:v>0.62042735042735042</c:v>
                </c:pt>
                <c:pt idx="2">
                  <c:v>0.46571428571428569</c:v>
                </c:pt>
                <c:pt idx="3">
                  <c:v>0.74666666666666659</c:v>
                </c:pt>
                <c:pt idx="4">
                  <c:v>0.84179894179894177</c:v>
                </c:pt>
                <c:pt idx="5">
                  <c:v>0.77460317460317452</c:v>
                </c:pt>
              </c:numCache>
            </c:numRef>
          </c:val>
          <c:extLst>
            <c:ext xmlns:c16="http://schemas.microsoft.com/office/drawing/2014/chart" uri="{C3380CC4-5D6E-409C-BE32-E72D297353CC}">
              <c16:uniqueId val="{00000000-ADC3-4C56-A1D1-D13921F26186}"/>
            </c:ext>
          </c:extLst>
        </c:ser>
        <c:dLbls>
          <c:showLegendKey val="0"/>
          <c:showVal val="0"/>
          <c:showCatName val="0"/>
          <c:showSerName val="0"/>
          <c:showPercent val="0"/>
          <c:showBubbleSize val="0"/>
        </c:dLbls>
        <c:axId val="361388352"/>
        <c:axId val="361390704"/>
      </c:radarChart>
      <c:catAx>
        <c:axId val="3613883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361390704"/>
        <c:crosses val="autoZero"/>
        <c:auto val="1"/>
        <c:lblAlgn val="ctr"/>
        <c:lblOffset val="100"/>
        <c:noMultiLvlLbl val="0"/>
      </c:catAx>
      <c:valAx>
        <c:axId val="3613907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361388352"/>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000000000000189" l="0.70000000000000062" r="0.70000000000000062" t="0.750000000000001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3611891642034327"/>
          <c:y val="0.14362491788920517"/>
          <c:w val="0.52202191974114753"/>
          <c:h val="0.78306145536822125"/>
        </c:manualLayout>
      </c:layout>
      <c:radarChart>
        <c:radarStyle val="marker"/>
        <c:varyColors val="0"/>
        <c:ser>
          <c:idx val="0"/>
          <c:order val="0"/>
          <c:spPr>
            <a:ln w="34925" cap="rnd">
              <a:solidFill>
                <a:srgbClr val="C00000"/>
              </a:solidFill>
              <a:round/>
            </a:ln>
            <a:effectLst>
              <a:outerShdw blurRad="40000" dist="23000" dir="5400000" rotWithShape="0">
                <a:srgbClr val="000000">
                  <a:alpha val="35000"/>
                </a:srgbClr>
              </a:outerShdw>
            </a:effectLst>
          </c:spPr>
          <c:marker>
            <c:symbol val="none"/>
          </c:marker>
          <c:dLbls>
            <c:delete val="1"/>
          </c:dLbls>
          <c:cat>
            <c:strRef>
              <c:f>'Scoring Summary'!$A$26:$A$28</c:f>
              <c:strCache>
                <c:ptCount val="3"/>
                <c:pt idx="0">
                  <c:v>Outsourcing</c:v>
                </c:pt>
                <c:pt idx="1">
                  <c:v>Lieferanten und Dienstleister</c:v>
                </c:pt>
                <c:pt idx="2">
                  <c:v>Verträge</c:v>
                </c:pt>
              </c:strCache>
            </c:strRef>
          </c:cat>
          <c:val>
            <c:numRef>
              <c:f>'Scoring Summary'!$B$26:$B$28</c:f>
              <c:numCache>
                <c:formatCode>0%</c:formatCode>
                <c:ptCount val="3"/>
                <c:pt idx="0">
                  <c:v>0.82857142857142851</c:v>
                </c:pt>
                <c:pt idx="1">
                  <c:v>0.66666666666666663</c:v>
                </c:pt>
                <c:pt idx="2">
                  <c:v>0.82857142857142851</c:v>
                </c:pt>
              </c:numCache>
            </c:numRef>
          </c:val>
          <c:extLst>
            <c:ext xmlns:c16="http://schemas.microsoft.com/office/drawing/2014/chart" uri="{C3380CC4-5D6E-409C-BE32-E72D297353CC}">
              <c16:uniqueId val="{00000000-7B0B-4FDC-9C34-17221B4DF080}"/>
            </c:ext>
          </c:extLst>
        </c:ser>
        <c:dLbls>
          <c:showLegendKey val="0"/>
          <c:showVal val="1"/>
          <c:showCatName val="0"/>
          <c:showSerName val="0"/>
          <c:showPercent val="0"/>
          <c:showBubbleSize val="0"/>
        </c:dLbls>
        <c:axId val="361391096"/>
        <c:axId val="361387568"/>
      </c:radarChart>
      <c:catAx>
        <c:axId val="3613910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1387568"/>
        <c:crosses val="autoZero"/>
        <c:auto val="1"/>
        <c:lblAlgn val="ctr"/>
        <c:lblOffset val="100"/>
        <c:noMultiLvlLbl val="0"/>
      </c:catAx>
      <c:valAx>
        <c:axId val="361387568"/>
        <c:scaling>
          <c:orientation val="minMax"/>
          <c:max val="1"/>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361391096"/>
        <c:crosses val="autoZero"/>
        <c:crossBetween val="between"/>
      </c:valAx>
      <c:spPr>
        <a:gradFill>
          <a:gsLst>
            <a:gs pos="0">
              <a:srgbClr val="C00000"/>
            </a:gs>
            <a:gs pos="53000">
              <a:srgbClr val="00B050"/>
            </a:gs>
            <a:gs pos="65000">
              <a:srgbClr val="00B050">
                <a:alpha val="0"/>
              </a:srgbClr>
            </a:gs>
          </a:gsLst>
          <a:path path="circle">
            <a:fillToRect l="50000" t="50000" r="50000" b="50000"/>
          </a:path>
        </a:gradFill>
        <a:ln>
          <a:noFill/>
        </a:ln>
        <a:effectLst/>
      </c:spPr>
    </c:plotArea>
    <c:plotVisOnly val="1"/>
    <c:dispBlanksAs val="gap"/>
    <c:showDLblsOverMax val="0"/>
  </c:chart>
  <c:spPr>
    <a:gradFill flip="none" rotWithShape="1">
      <a:gsLst>
        <a:gs pos="30000">
          <a:schemeClr val="tx1"/>
        </a:gs>
        <a:gs pos="0">
          <a:srgbClr val="C00000"/>
        </a:gs>
        <a:gs pos="70000">
          <a:schemeClr val="tx1"/>
        </a:gs>
        <a:gs pos="100000">
          <a:srgbClr val="C00000"/>
        </a:gs>
      </a:gsLst>
      <a:path path="circle">
        <a:fillToRect l="100000" t="100000"/>
      </a:path>
      <a:tileRect r="-100000" b="-100000"/>
    </a:gradFill>
    <a:ln>
      <a:noFill/>
    </a:ln>
    <a:effectLst/>
  </c:spPr>
  <c:txPr>
    <a:bodyPr/>
    <a:lstStyle/>
    <a:p>
      <a:pPr>
        <a:defRPr/>
      </a:pPr>
      <a:endParaRPr lang="de-DE"/>
    </a:p>
  </c:txPr>
  <c:printSettings>
    <c:headerFooter/>
    <c:pageMargins b="0.75000000000000411" l="0.70000000000000062" r="0.70000000000000062" t="0.750000000000004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manualLayout>
          <c:layoutTarget val="inner"/>
          <c:xMode val="edge"/>
          <c:yMode val="edge"/>
          <c:x val="0.22766266467175125"/>
          <c:y val="0.13753124768878042"/>
          <c:w val="0.53744626500748094"/>
          <c:h val="0.81693143998224982"/>
        </c:manualLayout>
      </c:layout>
      <c:radarChart>
        <c:radarStyle val="marker"/>
        <c:varyColors val="0"/>
        <c:ser>
          <c:idx val="0"/>
          <c:order val="0"/>
          <c:spPr>
            <a:ln w="34925" cap="rnd">
              <a:solidFill>
                <a:srgbClr val="FFC000"/>
              </a:solidFill>
              <a:round/>
            </a:ln>
            <a:effectLst>
              <a:outerShdw blurRad="40000" dist="23000" dir="5400000" rotWithShape="0">
                <a:srgbClr val="000000">
                  <a:alpha val="35000"/>
                </a:srgbClr>
              </a:outerShdw>
            </a:effectLst>
          </c:spPr>
          <c:marker>
            <c:symbol val="none"/>
          </c:marker>
          <c:cat>
            <c:strRef>
              <c:f>'Scoring Summary'!$A$22:$A$24</c:f>
              <c:strCache>
                <c:ptCount val="3"/>
                <c:pt idx="0">
                  <c:v>Aufbau- und Ablauforganisation</c:v>
                </c:pt>
                <c:pt idx="1">
                  <c:v>Kommunikation</c:v>
                </c:pt>
                <c:pt idx="2">
                  <c:v>Kontrollsysteme</c:v>
                </c:pt>
              </c:strCache>
            </c:strRef>
          </c:cat>
          <c:val>
            <c:numRef>
              <c:f>'Scoring Summary'!$B$22:$B$24</c:f>
              <c:numCache>
                <c:formatCode>0%</c:formatCode>
                <c:ptCount val="3"/>
                <c:pt idx="0">
                  <c:v>0.96666666666666656</c:v>
                </c:pt>
                <c:pt idx="1">
                  <c:v>0.7142857142857143</c:v>
                </c:pt>
                <c:pt idx="2">
                  <c:v>0.84444444444444444</c:v>
                </c:pt>
              </c:numCache>
            </c:numRef>
          </c:val>
          <c:extLst>
            <c:ext xmlns:c16="http://schemas.microsoft.com/office/drawing/2014/chart" uri="{C3380CC4-5D6E-409C-BE32-E72D297353CC}">
              <c16:uniqueId val="{00000000-57F0-45CF-97B8-47F966C3EA6A}"/>
            </c:ext>
          </c:extLst>
        </c:ser>
        <c:dLbls>
          <c:showLegendKey val="0"/>
          <c:showVal val="0"/>
          <c:showCatName val="0"/>
          <c:showSerName val="0"/>
          <c:showPercent val="0"/>
          <c:showBubbleSize val="0"/>
        </c:dLbls>
        <c:axId val="360487136"/>
        <c:axId val="360485960"/>
      </c:radarChart>
      <c:catAx>
        <c:axId val="360487136"/>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0485960"/>
        <c:crosses val="autoZero"/>
        <c:auto val="1"/>
        <c:lblAlgn val="ctr"/>
        <c:lblOffset val="100"/>
        <c:noMultiLvlLbl val="0"/>
      </c:catAx>
      <c:valAx>
        <c:axId val="360485960"/>
        <c:scaling>
          <c:orientation val="minMax"/>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360487136"/>
        <c:crosses val="autoZero"/>
        <c:crossBetween val="between"/>
      </c:valAx>
      <c:spPr>
        <a:gradFill flip="none" rotWithShape="1">
          <a:gsLst>
            <a:gs pos="0">
              <a:srgbClr val="C00000"/>
            </a:gs>
            <a:gs pos="53000">
              <a:srgbClr val="00B050"/>
            </a:gs>
            <a:gs pos="65000">
              <a:srgbClr val="00B050">
                <a:alpha val="0"/>
              </a:srgbClr>
            </a:gs>
          </a:gsLst>
          <a:path path="circle">
            <a:fillToRect l="50000" t="50000" r="50000" b="50000"/>
          </a:path>
          <a:tileRect/>
        </a:gradFill>
        <a:ln>
          <a:noFill/>
        </a:ln>
        <a:effectLst/>
      </c:spPr>
    </c:plotArea>
    <c:plotVisOnly val="1"/>
    <c:dispBlanksAs val="gap"/>
    <c:showDLblsOverMax val="0"/>
  </c:chart>
  <c:spPr>
    <a:gradFill flip="none" rotWithShape="1">
      <a:gsLst>
        <a:gs pos="30000">
          <a:schemeClr val="tx1"/>
        </a:gs>
        <a:gs pos="0">
          <a:srgbClr val="FFC000"/>
        </a:gs>
        <a:gs pos="70000">
          <a:schemeClr val="tx1"/>
        </a:gs>
        <a:gs pos="100000">
          <a:srgbClr val="FFC000"/>
        </a:gs>
      </a:gsLst>
      <a:path path="circle">
        <a:fillToRect l="100000" t="100000"/>
      </a:path>
      <a:tileRect r="-100000" b="-100000"/>
    </a:gradFill>
    <a:ln>
      <a:noFill/>
    </a:ln>
    <a:effectLst/>
  </c:spPr>
  <c:txPr>
    <a:bodyPr/>
    <a:lstStyle/>
    <a:p>
      <a:pPr>
        <a:defRPr/>
      </a:pPr>
      <a:endParaRPr lang="de-DE"/>
    </a:p>
  </c:txPr>
  <c:printSettings>
    <c:headerFooter/>
    <c:pageMargins b="0.75000000000000189" l="0.70000000000000062" r="0.70000000000000062" t="0.7500000000000018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barChart>
        <c:barDir val="col"/>
        <c:grouping val="clustered"/>
        <c:varyColors val="0"/>
        <c:ser>
          <c:idx val="0"/>
          <c:order val="0"/>
          <c:tx>
            <c:strRef>
              <c:f>CROM!$C$4</c:f>
              <c:strCache>
                <c:ptCount val="1"/>
                <c:pt idx="0">
                  <c:v>Werte</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invertIfNegative val="0"/>
          <c:dPt>
            <c:idx val="0"/>
            <c:invertIfNegative val="0"/>
            <c:bubble3D val="0"/>
            <c:extLst>
              <c:ext xmlns:c16="http://schemas.microsoft.com/office/drawing/2014/chart" uri="{C3380CC4-5D6E-409C-BE32-E72D297353CC}">
                <c16:uniqueId val="{00000000-FF1E-4CBB-BE82-026166F24729}"/>
              </c:ext>
            </c:extLst>
          </c:dPt>
          <c:dPt>
            <c:idx val="1"/>
            <c:invertIfNegative val="0"/>
            <c:bubble3D val="0"/>
            <c:extLst>
              <c:ext xmlns:c16="http://schemas.microsoft.com/office/drawing/2014/chart" uri="{C3380CC4-5D6E-409C-BE32-E72D297353CC}">
                <c16:uniqueId val="{00000001-FF1E-4CBB-BE82-026166F24729}"/>
              </c:ext>
            </c:extLst>
          </c:dPt>
          <c:dPt>
            <c:idx val="2"/>
            <c:invertIfNegative val="0"/>
            <c:bubble3D val="0"/>
            <c:extLst>
              <c:ext xmlns:c16="http://schemas.microsoft.com/office/drawing/2014/chart" uri="{C3380CC4-5D6E-409C-BE32-E72D297353CC}">
                <c16:uniqueId val="{00000002-FF1E-4CBB-BE82-026166F24729}"/>
              </c:ext>
            </c:extLst>
          </c:dPt>
          <c:dPt>
            <c:idx val="3"/>
            <c:invertIfNegative val="0"/>
            <c:bubble3D val="0"/>
            <c:extLst>
              <c:ext xmlns:c16="http://schemas.microsoft.com/office/drawing/2014/chart" uri="{C3380CC4-5D6E-409C-BE32-E72D297353CC}">
                <c16:uniqueId val="{00000003-FF1E-4CBB-BE82-026166F24729}"/>
              </c:ext>
            </c:extLst>
          </c:dPt>
          <c:dPt>
            <c:idx val="4"/>
            <c:invertIfNegative val="0"/>
            <c:bubble3D val="0"/>
            <c:extLst>
              <c:ext xmlns:c16="http://schemas.microsoft.com/office/drawing/2014/chart" uri="{C3380CC4-5D6E-409C-BE32-E72D297353CC}">
                <c16:uniqueId val="{00000004-FF1E-4CBB-BE82-026166F24729}"/>
              </c:ext>
            </c:extLst>
          </c:dPt>
          <c:dPt>
            <c:idx val="5"/>
            <c:invertIfNegative val="0"/>
            <c:bubble3D val="0"/>
            <c:extLst>
              <c:ext xmlns:c16="http://schemas.microsoft.com/office/drawing/2014/chart" uri="{C3380CC4-5D6E-409C-BE32-E72D297353CC}">
                <c16:uniqueId val="{00000005-FF1E-4CBB-BE82-026166F24729}"/>
              </c:ext>
            </c:extLst>
          </c:dPt>
          <c:cat>
            <c:strRef>
              <c:f>CROM!$A$5:$A$10</c:f>
              <c:strCache>
                <c:ptCount val="6"/>
                <c:pt idx="0">
                  <c:v>IT Strategie und Planung</c:v>
                </c:pt>
                <c:pt idx="1">
                  <c:v>IT Services und Prozesse</c:v>
                </c:pt>
                <c:pt idx="2">
                  <c:v>IT Infrastruktur</c:v>
                </c:pt>
                <c:pt idx="3">
                  <c:v>Personal und Kompetenzen</c:v>
                </c:pt>
                <c:pt idx="4">
                  <c:v>Organisation und Governance</c:v>
                </c:pt>
                <c:pt idx="5">
                  <c:v>Sourcing</c:v>
                </c:pt>
              </c:strCache>
            </c:strRef>
          </c:cat>
          <c:val>
            <c:numRef>
              <c:f>CROM!$C$5:$C$10</c:f>
              <c:numCache>
                <c:formatCode>General</c:formatCode>
                <c:ptCount val="6"/>
                <c:pt idx="0">
                  <c:v>3</c:v>
                </c:pt>
                <c:pt idx="1">
                  <c:v>3</c:v>
                </c:pt>
                <c:pt idx="2">
                  <c:v>2</c:v>
                </c:pt>
                <c:pt idx="3">
                  <c:v>3</c:v>
                </c:pt>
                <c:pt idx="4">
                  <c:v>4</c:v>
                </c:pt>
                <c:pt idx="5">
                  <c:v>3</c:v>
                </c:pt>
              </c:numCache>
            </c:numRef>
          </c:val>
          <c:extLst>
            <c:ext xmlns:c16="http://schemas.microsoft.com/office/drawing/2014/chart" uri="{C3380CC4-5D6E-409C-BE32-E72D297353CC}">
              <c16:uniqueId val="{0000000A-FF1E-4CBB-BE82-026166F24729}"/>
            </c:ext>
          </c:extLst>
        </c:ser>
        <c:dLbls>
          <c:showLegendKey val="0"/>
          <c:showVal val="0"/>
          <c:showCatName val="0"/>
          <c:showSerName val="0"/>
          <c:showPercent val="0"/>
          <c:showBubbleSize val="0"/>
        </c:dLbls>
        <c:gapWidth val="300"/>
        <c:axId val="360484392"/>
        <c:axId val="360484784"/>
      </c:barChart>
      <c:catAx>
        <c:axId val="36048439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de-DE"/>
                  <a:t>Gestaltungsfelder</a:t>
                </a:r>
              </a:p>
            </c:rich>
          </c:tx>
          <c:layout>
            <c:manualLayout>
              <c:xMode val="edge"/>
              <c:yMode val="edge"/>
              <c:x val="0.46441699168896255"/>
              <c:y val="0.91811905801578964"/>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de-DE"/>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0484784"/>
        <c:crosses val="autoZero"/>
        <c:auto val="1"/>
        <c:lblAlgn val="ctr"/>
        <c:lblOffset val="100"/>
        <c:noMultiLvlLbl val="0"/>
      </c:catAx>
      <c:valAx>
        <c:axId val="360484784"/>
        <c:scaling>
          <c:orientation val="minMax"/>
          <c:max val="4"/>
        </c:scaling>
        <c:delete val="0"/>
        <c:axPos val="l"/>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de-DE"/>
                  <a:t>Assessment Rating</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de-DE"/>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0484392"/>
        <c:crosses val="autoZero"/>
        <c:crossBetween val="between"/>
        <c:majorUnit val="1"/>
      </c:valAx>
      <c:spPr>
        <a:noFill/>
        <a:ln>
          <a:noFill/>
        </a:ln>
        <a:effectLst/>
      </c:spPr>
    </c:plotArea>
    <c:plotVisOnly val="1"/>
    <c:dispBlanksAs val="gap"/>
    <c:showDLblsOverMax val="0"/>
  </c:chart>
  <c:spPr>
    <a:gradFill flip="none" rotWithShape="1">
      <a:gsLst>
        <a:gs pos="60000">
          <a:schemeClr val="tx1"/>
        </a:gs>
        <a:gs pos="0">
          <a:schemeClr val="tx1">
            <a:lumMod val="50000"/>
            <a:lumOff val="50000"/>
          </a:schemeClr>
        </a:gs>
        <a:gs pos="40000">
          <a:schemeClr val="tx1"/>
        </a:gs>
        <a:gs pos="100000">
          <a:schemeClr val="tx1">
            <a:lumMod val="50000"/>
            <a:lumOff val="50000"/>
          </a:schemeClr>
        </a:gs>
      </a:gsLst>
      <a:path path="circle">
        <a:fillToRect l="100000" t="100000"/>
      </a:path>
      <a:tileRect r="-100000" b="-100000"/>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19050</xdr:colOff>
      <xdr:row>5</xdr:row>
      <xdr:rowOff>77562</xdr:rowOff>
    </xdr:from>
    <xdr:to>
      <xdr:col>8</xdr:col>
      <xdr:colOff>5175</xdr:colOff>
      <xdr:row>19</xdr:row>
      <xdr:rowOff>114762</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19048</xdr:colOff>
      <xdr:row>21</xdr:row>
      <xdr:rowOff>56030</xdr:rowOff>
    </xdr:from>
    <xdr:to>
      <xdr:col>8</xdr:col>
      <xdr:colOff>5173</xdr:colOff>
      <xdr:row>35</xdr:row>
      <xdr:rowOff>93230</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1361</xdr:colOff>
      <xdr:row>21</xdr:row>
      <xdr:rowOff>56030</xdr:rowOff>
    </xdr:from>
    <xdr:to>
      <xdr:col>16</xdr:col>
      <xdr:colOff>511361</xdr:colOff>
      <xdr:row>35</xdr:row>
      <xdr:rowOff>129230</xdr:rowOff>
    </xdr:to>
    <xdr:graphicFrame macro="">
      <xdr:nvGraphicFramePr>
        <xdr:cNvPr id="4" name="Chart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1360</xdr:colOff>
      <xdr:row>5</xdr:row>
      <xdr:rowOff>71399</xdr:rowOff>
    </xdr:from>
    <xdr:to>
      <xdr:col>16</xdr:col>
      <xdr:colOff>511360</xdr:colOff>
      <xdr:row>19</xdr:row>
      <xdr:rowOff>108599</xdr:rowOff>
    </xdr:to>
    <xdr:graphicFrame macro="">
      <xdr:nvGraphicFramePr>
        <xdr:cNvPr id="5" name="Chart 10">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0</xdr:colOff>
      <xdr:row>5</xdr:row>
      <xdr:rowOff>66675</xdr:rowOff>
    </xdr:from>
    <xdr:to>
      <xdr:col>33</xdr:col>
      <xdr:colOff>571500</xdr:colOff>
      <xdr:row>35</xdr:row>
      <xdr:rowOff>133351</xdr:rowOff>
    </xdr:to>
    <xdr:graphicFrame macro="">
      <xdr:nvGraphicFramePr>
        <xdr:cNvPr id="6" name="Chart 10">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1361</xdr:colOff>
      <xdr:row>21</xdr:row>
      <xdr:rowOff>56030</xdr:rowOff>
    </xdr:from>
    <xdr:to>
      <xdr:col>25</xdr:col>
      <xdr:colOff>511361</xdr:colOff>
      <xdr:row>35</xdr:row>
      <xdr:rowOff>129230</xdr:rowOff>
    </xdr:to>
    <xdr:graphicFrame macro="">
      <xdr:nvGraphicFramePr>
        <xdr:cNvPr id="7" name="Chart 6">
          <a:extLst>
            <a:ext uri="{FF2B5EF4-FFF2-40B4-BE49-F238E27FC236}">
              <a16:creationId xmlns:a16="http://schemas.microsoft.com/office/drawing/2014/main" id="{88358D03-00EC-4451-A373-D6838805C8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1360</xdr:colOff>
      <xdr:row>5</xdr:row>
      <xdr:rowOff>71399</xdr:rowOff>
    </xdr:from>
    <xdr:to>
      <xdr:col>25</xdr:col>
      <xdr:colOff>511360</xdr:colOff>
      <xdr:row>19</xdr:row>
      <xdr:rowOff>108599</xdr:rowOff>
    </xdr:to>
    <xdr:graphicFrame macro="">
      <xdr:nvGraphicFramePr>
        <xdr:cNvPr id="8" name="Chart 10">
          <a:extLst>
            <a:ext uri="{FF2B5EF4-FFF2-40B4-BE49-F238E27FC236}">
              <a16:creationId xmlns:a16="http://schemas.microsoft.com/office/drawing/2014/main" id="{6A704D05-2E52-42E8-A6E9-F69ECA9591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10</xdr:row>
      <xdr:rowOff>148166</xdr:rowOff>
    </xdr:from>
    <xdr:to>
      <xdr:col>7</xdr:col>
      <xdr:colOff>761999</xdr:colOff>
      <xdr:row>30</xdr:row>
      <xdr:rowOff>148167</xdr:rowOff>
    </xdr:to>
    <xdr:graphicFrame macro="">
      <xdr:nvGraphicFramePr>
        <xdr:cNvPr id="2" name="Diagramm 1">
          <a:extLst>
            <a:ext uri="{FF2B5EF4-FFF2-40B4-BE49-F238E27FC236}">
              <a16:creationId xmlns:a16="http://schemas.microsoft.com/office/drawing/2014/main" id="{6CA1AD70-8702-4874-AFE4-A880530807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
  <a:themeElements>
    <a:clrScheme name="ConSalt">
      <a:dk1>
        <a:sysClr val="windowText" lastClr="000000"/>
      </a:dk1>
      <a:lt1>
        <a:sysClr val="window" lastClr="FFFFFF"/>
      </a:lt1>
      <a:dk2>
        <a:srgbClr val="467491"/>
      </a:dk2>
      <a:lt2>
        <a:srgbClr val="EEECE1"/>
      </a:lt2>
      <a:accent1>
        <a:srgbClr val="C6D4DD"/>
      </a:accent1>
      <a:accent2>
        <a:srgbClr val="90ABBC"/>
      </a:accent2>
      <a:accent3>
        <a:srgbClr val="467491"/>
      </a:accent3>
      <a:accent4>
        <a:srgbClr val="9BBB59"/>
      </a:accent4>
      <a:accent5>
        <a:srgbClr val="8064A2"/>
      </a:accent5>
      <a:accent6>
        <a:srgbClr val="7F7F7F"/>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1" tint="0.499984740745262"/>
    <pageSetUpPr fitToPage="1"/>
  </sheetPr>
  <dimension ref="A1:C12"/>
  <sheetViews>
    <sheetView tabSelected="1" view="pageBreakPreview" zoomScaleNormal="100" zoomScaleSheetLayoutView="100" workbookViewId="0">
      <selection activeCell="A4" sqref="A4:C4"/>
    </sheetView>
  </sheetViews>
  <sheetFormatPr baseColWidth="10" defaultColWidth="9.1328125" defaultRowHeight="71.25" customHeight="1" x14ac:dyDescent="0.4"/>
  <cols>
    <col min="1" max="1" width="5.3984375" style="23" customWidth="1"/>
    <col min="2" max="3" width="58" style="23" customWidth="1"/>
    <col min="4" max="4" width="13.86328125" style="23" customWidth="1"/>
    <col min="5" max="5" width="14.3984375" style="23" customWidth="1"/>
    <col min="6" max="16384" width="9.1328125" style="23"/>
  </cols>
  <sheetData>
    <row r="1" spans="1:3" s="11" customFormat="1" ht="15.75" x14ac:dyDescent="0.5">
      <c r="A1" s="1" t="s">
        <v>186</v>
      </c>
      <c r="B1" s="2"/>
      <c r="C1" s="2"/>
    </row>
    <row r="2" spans="1:3" s="11" customFormat="1" ht="13.15" x14ac:dyDescent="0.4">
      <c r="A2" s="12"/>
      <c r="B2" s="22"/>
      <c r="C2" s="12"/>
    </row>
    <row r="3" spans="1:3" ht="13.15" x14ac:dyDescent="0.4">
      <c r="A3" s="333" t="s">
        <v>7</v>
      </c>
      <c r="B3" s="333"/>
      <c r="C3" s="333"/>
    </row>
    <row r="4" spans="1:3" ht="13.15" x14ac:dyDescent="0.4">
      <c r="A4" s="334" t="s">
        <v>269</v>
      </c>
      <c r="B4" s="335"/>
      <c r="C4" s="336"/>
    </row>
    <row r="5" spans="1:3" ht="9" customHeight="1" x14ac:dyDescent="0.4">
      <c r="A5" s="327"/>
      <c r="B5" s="328"/>
      <c r="C5" s="329"/>
    </row>
    <row r="6" spans="1:3" ht="13.15" x14ac:dyDescent="0.4">
      <c r="A6" s="337" t="s">
        <v>8</v>
      </c>
      <c r="B6" s="337"/>
      <c r="C6" s="337"/>
    </row>
    <row r="7" spans="1:3" ht="83.25" customHeight="1" x14ac:dyDescent="0.4">
      <c r="A7" s="334" t="s">
        <v>194</v>
      </c>
      <c r="B7" s="335"/>
      <c r="C7" s="336"/>
    </row>
    <row r="8" spans="1:3" ht="15" customHeight="1" x14ac:dyDescent="0.4">
      <c r="A8" s="334" t="s">
        <v>187</v>
      </c>
      <c r="B8" s="335"/>
      <c r="C8" s="336"/>
    </row>
    <row r="9" spans="1:3" ht="102" customHeight="1" x14ac:dyDescent="0.4">
      <c r="A9" s="307">
        <v>1</v>
      </c>
      <c r="B9" s="325" t="s">
        <v>196</v>
      </c>
      <c r="C9" s="326"/>
    </row>
    <row r="10" spans="1:3" ht="86.25" customHeight="1" x14ac:dyDescent="0.4">
      <c r="A10" s="307">
        <v>2</v>
      </c>
      <c r="B10" s="325" t="s">
        <v>270</v>
      </c>
      <c r="C10" s="326"/>
    </row>
    <row r="11" spans="1:3" ht="107.25" customHeight="1" x14ac:dyDescent="0.4">
      <c r="A11" s="307">
        <v>3</v>
      </c>
      <c r="B11" s="325" t="s">
        <v>200</v>
      </c>
      <c r="C11" s="326"/>
    </row>
    <row r="12" spans="1:3" ht="13.15" x14ac:dyDescent="0.4">
      <c r="A12" s="330" t="s">
        <v>197</v>
      </c>
      <c r="B12" s="331"/>
      <c r="C12" s="332"/>
    </row>
  </sheetData>
  <mergeCells count="10">
    <mergeCell ref="A3:C3"/>
    <mergeCell ref="A4:C4"/>
    <mergeCell ref="A6:C6"/>
    <mergeCell ref="A7:C7"/>
    <mergeCell ref="A8:C8"/>
    <mergeCell ref="B9:C9"/>
    <mergeCell ref="B11:C11"/>
    <mergeCell ref="B10:C10"/>
    <mergeCell ref="A5:C5"/>
    <mergeCell ref="A12:C12"/>
  </mergeCells>
  <pageMargins left="0.39370078740157483" right="0.39370078740157483" top="0.98425196850393704" bottom="0.78740157480314965" header="0.11811023622047245" footer="0.11811023622047245"/>
  <pageSetup paperSize="9" scale="94" orientation="landscape" r:id="rId1"/>
  <headerFooter>
    <oddHeader xml:space="preserve">&amp;L&amp;G
&amp;C&amp;14
&amp;16&amp;A&amp;R
&amp;G </oddHeader>
    <oddFooter>&amp;L&amp;F&amp;C&amp;P von &amp;N&amp;R&amp;D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
    <tabColor theme="2" tint="-0.499984740745262"/>
    <pageSetUpPr fitToPage="1"/>
  </sheetPr>
  <dimension ref="A1:N37"/>
  <sheetViews>
    <sheetView view="pageBreakPreview" topLeftCell="A5" zoomScaleNormal="100" zoomScaleSheetLayoutView="100" workbookViewId="0">
      <selection activeCell="A22" sqref="A22"/>
    </sheetView>
  </sheetViews>
  <sheetFormatPr baseColWidth="10" defaultColWidth="9.1328125" defaultRowHeight="14.25" customHeight="1" x14ac:dyDescent="0.4"/>
  <cols>
    <col min="1" max="10" width="11.73046875" style="117" customWidth="1"/>
    <col min="11" max="11" width="9.1328125" style="117" hidden="1" customWidth="1"/>
    <col min="12" max="12" width="26.1328125" style="117" hidden="1" customWidth="1"/>
    <col min="13" max="13" width="2.73046875" style="117" hidden="1" customWidth="1"/>
    <col min="14" max="14" width="11.59765625" style="117" hidden="1" customWidth="1"/>
    <col min="15" max="16384" width="9.1328125" style="118"/>
  </cols>
  <sheetData>
    <row r="1" spans="1:14" s="85" customFormat="1" ht="15.75" x14ac:dyDescent="0.5">
      <c r="A1" s="81" t="s">
        <v>188</v>
      </c>
      <c r="B1" s="82"/>
      <c r="C1" s="82"/>
      <c r="D1" s="83"/>
      <c r="E1" s="83"/>
      <c r="F1" s="83"/>
      <c r="G1" s="83"/>
      <c r="H1" s="83"/>
      <c r="I1" s="83"/>
      <c r="J1" s="83"/>
      <c r="K1" s="84"/>
      <c r="L1" s="84"/>
      <c r="M1" s="84"/>
      <c r="N1" s="84"/>
    </row>
    <row r="2" spans="1:14" s="90" customFormat="1" x14ac:dyDescent="0.45">
      <c r="A2" s="86"/>
      <c r="B2" s="87"/>
      <c r="C2" s="87"/>
      <c r="D2" s="87"/>
      <c r="E2" s="87"/>
      <c r="F2" s="87"/>
      <c r="G2" s="87"/>
      <c r="H2" s="88"/>
      <c r="I2" s="88"/>
      <c r="J2" s="88"/>
      <c r="K2" s="89"/>
      <c r="L2" s="89"/>
      <c r="M2" s="89"/>
      <c r="N2" s="89"/>
    </row>
    <row r="3" spans="1:14" s="85" customFormat="1" ht="13.15" x14ac:dyDescent="0.4">
      <c r="A3" s="338" t="s">
        <v>176</v>
      </c>
      <c r="B3" s="339"/>
      <c r="C3" s="339"/>
      <c r="D3" s="339"/>
      <c r="E3" s="339"/>
      <c r="F3" s="339"/>
      <c r="G3" s="339"/>
      <c r="H3" s="339"/>
      <c r="I3" s="339"/>
      <c r="J3" s="340"/>
      <c r="K3" s="91"/>
      <c r="L3" s="91"/>
      <c r="M3" s="91"/>
      <c r="N3" s="91"/>
    </row>
    <row r="4" spans="1:14" s="85" customFormat="1" ht="13.15" x14ac:dyDescent="0.4">
      <c r="A4" s="92" t="s">
        <v>11</v>
      </c>
      <c r="B4" s="93"/>
      <c r="C4" s="93"/>
      <c r="D4" s="93"/>
      <c r="E4" s="93"/>
      <c r="F4" s="93"/>
      <c r="G4" s="93"/>
      <c r="H4" s="93"/>
      <c r="I4" s="93"/>
      <c r="J4" s="94"/>
      <c r="K4" s="84"/>
      <c r="L4" s="84"/>
      <c r="M4" s="84"/>
      <c r="N4" s="84"/>
    </row>
    <row r="5" spans="1:14" s="85" customFormat="1" ht="13.15" x14ac:dyDescent="0.4">
      <c r="A5" s="341">
        <v>1</v>
      </c>
      <c r="B5" s="341"/>
      <c r="C5" s="341">
        <v>2</v>
      </c>
      <c r="D5" s="341"/>
      <c r="E5" s="341">
        <v>3</v>
      </c>
      <c r="F5" s="341"/>
      <c r="G5" s="341">
        <v>4</v>
      </c>
      <c r="H5" s="341"/>
      <c r="I5" s="341">
        <v>5</v>
      </c>
      <c r="J5" s="341"/>
      <c r="K5" s="84"/>
      <c r="L5" s="95" t="s">
        <v>1</v>
      </c>
      <c r="M5" s="84"/>
      <c r="N5" s="95" t="s">
        <v>2</v>
      </c>
    </row>
    <row r="6" spans="1:14" s="85" customFormat="1" ht="27" customHeight="1" x14ac:dyDescent="0.4">
      <c r="A6" s="348" t="s">
        <v>24</v>
      </c>
      <c r="B6" s="349"/>
      <c r="C6" s="349" t="s">
        <v>25</v>
      </c>
      <c r="D6" s="349"/>
      <c r="E6" s="349" t="s">
        <v>12</v>
      </c>
      <c r="F6" s="349"/>
      <c r="G6" s="349" t="s">
        <v>13</v>
      </c>
      <c r="H6" s="349"/>
      <c r="I6" s="349" t="s">
        <v>14</v>
      </c>
      <c r="J6" s="349"/>
      <c r="K6" s="84"/>
      <c r="L6" s="96" t="s">
        <v>14</v>
      </c>
      <c r="M6" s="84"/>
      <c r="N6" s="97" t="s">
        <v>10</v>
      </c>
    </row>
    <row r="7" spans="1:14" s="85" customFormat="1" ht="13.15" x14ac:dyDescent="0.4">
      <c r="A7" s="98"/>
      <c r="B7" s="99"/>
      <c r="C7" s="99"/>
      <c r="D7" s="99"/>
      <c r="E7" s="99"/>
      <c r="F7" s="99"/>
      <c r="G7" s="99"/>
      <c r="H7" s="99"/>
      <c r="I7" s="99"/>
      <c r="J7" s="100"/>
      <c r="K7" s="84"/>
      <c r="L7" s="96" t="s">
        <v>13</v>
      </c>
      <c r="M7" s="84"/>
      <c r="N7" s="97" t="s">
        <v>16</v>
      </c>
    </row>
    <row r="8" spans="1:14" s="85" customFormat="1" ht="12.75" customHeight="1" x14ac:dyDescent="0.4">
      <c r="A8" s="306" t="s">
        <v>15</v>
      </c>
      <c r="B8" s="101"/>
      <c r="C8" s="101"/>
      <c r="D8" s="101"/>
      <c r="E8" s="101"/>
      <c r="F8" s="101"/>
      <c r="G8" s="101"/>
      <c r="H8" s="101"/>
      <c r="I8" s="101"/>
      <c r="J8" s="102"/>
      <c r="K8" s="84"/>
      <c r="L8" s="96" t="s">
        <v>12</v>
      </c>
      <c r="M8" s="84"/>
      <c r="N8" s="84"/>
    </row>
    <row r="9" spans="1:14" s="85" customFormat="1" ht="13.15" x14ac:dyDescent="0.4">
      <c r="A9" s="341">
        <v>1</v>
      </c>
      <c r="B9" s="341"/>
      <c r="C9" s="341"/>
      <c r="D9" s="341"/>
      <c r="E9" s="341"/>
      <c r="F9" s="341">
        <v>5</v>
      </c>
      <c r="G9" s="341"/>
      <c r="H9" s="341"/>
      <c r="I9" s="341"/>
      <c r="J9" s="341"/>
      <c r="K9" s="84"/>
      <c r="L9" s="96" t="s">
        <v>25</v>
      </c>
      <c r="M9" s="84"/>
      <c r="N9" s="84"/>
    </row>
    <row r="10" spans="1:14" s="85" customFormat="1" ht="12.75" customHeight="1" x14ac:dyDescent="0.4">
      <c r="A10" s="350" t="s">
        <v>3</v>
      </c>
      <c r="B10" s="350"/>
      <c r="C10" s="350"/>
      <c r="D10" s="350"/>
      <c r="E10" s="350"/>
      <c r="F10" s="350" t="s">
        <v>4</v>
      </c>
      <c r="G10" s="350"/>
      <c r="H10" s="350"/>
      <c r="I10" s="350"/>
      <c r="J10" s="350"/>
      <c r="K10" s="84"/>
      <c r="L10" s="96" t="s">
        <v>24</v>
      </c>
      <c r="M10" s="84"/>
      <c r="N10" s="84"/>
    </row>
    <row r="11" spans="1:14" s="85" customFormat="1" ht="13.15" x14ac:dyDescent="0.4">
      <c r="A11" s="103"/>
      <c r="B11" s="93"/>
      <c r="C11" s="93"/>
      <c r="D11" s="93"/>
      <c r="E11" s="93"/>
      <c r="F11" s="93"/>
      <c r="G11" s="93"/>
      <c r="H11" s="93"/>
      <c r="I11" s="93"/>
      <c r="J11" s="93"/>
      <c r="K11" s="84"/>
      <c r="L11" s="84"/>
      <c r="M11" s="84"/>
      <c r="N11" s="84"/>
    </row>
    <row r="12" spans="1:14" s="85" customFormat="1" ht="13.15" x14ac:dyDescent="0.4">
      <c r="A12" s="338" t="s">
        <v>20</v>
      </c>
      <c r="B12" s="339"/>
      <c r="C12" s="339"/>
      <c r="D12" s="339"/>
      <c r="E12" s="339"/>
      <c r="F12" s="339"/>
      <c r="G12" s="339"/>
      <c r="H12" s="339"/>
      <c r="I12" s="339"/>
      <c r="J12" s="340"/>
      <c r="K12" s="84"/>
      <c r="L12" s="84"/>
      <c r="M12" s="84"/>
      <c r="N12" s="84"/>
    </row>
    <row r="13" spans="1:14" s="85" customFormat="1" ht="13.15" x14ac:dyDescent="0.4">
      <c r="A13" s="345" t="s">
        <v>177</v>
      </c>
      <c r="B13" s="346"/>
      <c r="C13" s="346"/>
      <c r="D13" s="346"/>
      <c r="E13" s="346"/>
      <c r="F13" s="347"/>
      <c r="G13" s="275" t="s">
        <v>20</v>
      </c>
      <c r="H13" s="104"/>
      <c r="I13" s="105"/>
      <c r="J13" s="106"/>
      <c r="K13" s="84"/>
      <c r="L13" s="84"/>
      <c r="M13" s="84"/>
      <c r="N13" s="84"/>
    </row>
    <row r="14" spans="1:14" s="85" customFormat="1" ht="13.15" x14ac:dyDescent="0.4">
      <c r="A14" s="107" t="str">
        <f>rawScores!I2</f>
        <v>IT Strategie und Planung</v>
      </c>
      <c r="B14" s="108"/>
      <c r="C14" s="108"/>
      <c r="D14" s="108"/>
      <c r="E14" s="108"/>
      <c r="F14" s="108"/>
      <c r="G14" s="109">
        <f>SUM(G15:G17)</f>
        <v>1</v>
      </c>
      <c r="H14" s="110"/>
      <c r="I14" s="111"/>
      <c r="J14" s="112"/>
      <c r="K14" s="84"/>
      <c r="L14" s="84"/>
      <c r="M14" s="84"/>
      <c r="N14" s="84"/>
    </row>
    <row r="15" spans="1:14" s="85" customFormat="1" ht="13.15" x14ac:dyDescent="0.4">
      <c r="A15" s="113" t="str">
        <f>rawScores!I3</f>
        <v>Cloud Konzepte</v>
      </c>
      <c r="B15" s="114"/>
      <c r="C15" s="114"/>
      <c r="D15" s="114"/>
      <c r="E15" s="114"/>
      <c r="F15" s="114"/>
      <c r="G15" s="115">
        <f>1/3</f>
        <v>0.33333333333333331</v>
      </c>
      <c r="H15" s="110"/>
      <c r="I15" s="111"/>
      <c r="J15" s="112"/>
      <c r="K15" s="84"/>
      <c r="L15" s="84"/>
      <c r="M15" s="84"/>
      <c r="N15" s="84"/>
    </row>
    <row r="16" spans="1:14" s="85" customFormat="1" ht="13.15" x14ac:dyDescent="0.4">
      <c r="A16" s="113" t="str">
        <f>rawScores!I4</f>
        <v>Ziele und Visionen</v>
      </c>
      <c r="B16" s="114"/>
      <c r="C16" s="114"/>
      <c r="D16" s="114"/>
      <c r="E16" s="114"/>
      <c r="F16" s="114"/>
      <c r="G16" s="115">
        <f t="shared" ref="G16:G17" si="0">1/3</f>
        <v>0.33333333333333331</v>
      </c>
      <c r="H16" s="110"/>
      <c r="I16" s="111"/>
      <c r="J16" s="112"/>
      <c r="K16" s="84"/>
      <c r="L16" s="84"/>
      <c r="M16" s="84"/>
      <c r="N16" s="84"/>
    </row>
    <row r="17" spans="1:14" s="85" customFormat="1" ht="13.15" x14ac:dyDescent="0.4">
      <c r="A17" s="113" t="str">
        <f>rawScores!I5</f>
        <v>Strategische Projekte</v>
      </c>
      <c r="B17" s="116"/>
      <c r="C17" s="114"/>
      <c r="D17" s="114"/>
      <c r="E17" s="114"/>
      <c r="F17" s="114"/>
      <c r="G17" s="115">
        <f t="shared" si="0"/>
        <v>0.33333333333333331</v>
      </c>
      <c r="H17" s="342" t="str">
        <f>IF(G14=1,IF(G18=1,IF(G22=1,IF(G26=1,IF(G30=1,IF(G34=1," ","Error: totals do not equal 100%"),"Error: totals do not equal 100%"),"Error: totals do not equal 100%"),"Error: totals do not equal 100%"),"Error: totals do not equal 100%"))</f>
        <v xml:space="preserve"> </v>
      </c>
      <c r="I17" s="343"/>
      <c r="J17" s="344"/>
      <c r="K17" s="84"/>
      <c r="L17" s="84"/>
      <c r="M17" s="84"/>
      <c r="N17" s="84"/>
    </row>
    <row r="18" spans="1:14" s="85" customFormat="1" ht="13.15" x14ac:dyDescent="0.4">
      <c r="A18" s="107" t="str">
        <f>rawScores!I6</f>
        <v>IT Services und Prozesse</v>
      </c>
      <c r="B18" s="108"/>
      <c r="C18" s="108"/>
      <c r="D18" s="108"/>
      <c r="E18" s="108"/>
      <c r="F18" s="108"/>
      <c r="G18" s="109">
        <f>SUM(G19:G21)</f>
        <v>1</v>
      </c>
      <c r="H18" s="249"/>
      <c r="I18" s="250"/>
      <c r="J18" s="251"/>
      <c r="K18" s="84"/>
      <c r="L18" s="84"/>
      <c r="M18" s="84"/>
      <c r="N18" s="84"/>
    </row>
    <row r="19" spans="1:14" s="85" customFormat="1" ht="13.15" x14ac:dyDescent="0.4">
      <c r="A19" s="113" t="str">
        <f>rawScores!I7</f>
        <v>Cloud Services</v>
      </c>
      <c r="B19" s="114"/>
      <c r="C19" s="114"/>
      <c r="D19" s="114"/>
      <c r="E19" s="114"/>
      <c r="F19" s="114"/>
      <c r="G19" s="115">
        <f>1/3</f>
        <v>0.33333333333333331</v>
      </c>
      <c r="H19" s="249"/>
      <c r="I19" s="250"/>
      <c r="J19" s="251"/>
      <c r="K19" s="84"/>
      <c r="L19" s="84"/>
      <c r="M19" s="84"/>
      <c r="N19" s="84"/>
    </row>
    <row r="20" spans="1:14" s="85" customFormat="1" ht="13.15" x14ac:dyDescent="0.4">
      <c r="A20" s="113" t="str">
        <f>rawScores!I8</f>
        <v>IT Service Management</v>
      </c>
      <c r="B20" s="114"/>
      <c r="C20" s="114"/>
      <c r="D20" s="114"/>
      <c r="E20" s="114"/>
      <c r="F20" s="114"/>
      <c r="G20" s="115">
        <f t="shared" ref="G20:G21" si="1">1/3</f>
        <v>0.33333333333333331</v>
      </c>
      <c r="H20" s="110"/>
      <c r="I20" s="111"/>
      <c r="J20" s="112"/>
      <c r="K20" s="84"/>
      <c r="L20" s="84"/>
      <c r="M20" s="84"/>
      <c r="N20" s="84"/>
    </row>
    <row r="21" spans="1:14" s="85" customFormat="1" ht="13.15" x14ac:dyDescent="0.4">
      <c r="A21" s="113" t="str">
        <f>rawScores!I9</f>
        <v>IT Asset Management</v>
      </c>
      <c r="B21" s="114"/>
      <c r="C21" s="114"/>
      <c r="D21" s="114"/>
      <c r="E21" s="114"/>
      <c r="F21" s="114"/>
      <c r="G21" s="115">
        <f t="shared" si="1"/>
        <v>0.33333333333333331</v>
      </c>
      <c r="H21" s="110"/>
      <c r="I21" s="111"/>
      <c r="J21" s="112"/>
      <c r="K21" s="84"/>
      <c r="L21" s="84"/>
      <c r="M21" s="84"/>
      <c r="N21" s="84"/>
    </row>
    <row r="22" spans="1:14" s="85" customFormat="1" ht="13.15" x14ac:dyDescent="0.4">
      <c r="A22" s="107" t="str">
        <f>rawScores!I10</f>
        <v>IT Infrastruktur</v>
      </c>
      <c r="B22" s="108"/>
      <c r="C22" s="108"/>
      <c r="D22" s="108"/>
      <c r="E22" s="108"/>
      <c r="F22" s="108"/>
      <c r="G22" s="109">
        <f>SUM(G23:G25)</f>
        <v>1</v>
      </c>
      <c r="H22" s="249"/>
      <c r="I22" s="250"/>
      <c r="J22" s="251"/>
      <c r="K22" s="84"/>
      <c r="L22" s="84"/>
      <c r="M22" s="84"/>
      <c r="N22" s="84"/>
    </row>
    <row r="23" spans="1:14" s="85" customFormat="1" ht="13.15" x14ac:dyDescent="0.4">
      <c r="A23" s="113" t="str">
        <f>rawScores!I11</f>
        <v>Cloud Technologien</v>
      </c>
      <c r="B23" s="114"/>
      <c r="C23" s="114"/>
      <c r="D23" s="114"/>
      <c r="E23" s="114"/>
      <c r="F23" s="114"/>
      <c r="G23" s="115">
        <f>1/3</f>
        <v>0.33333333333333331</v>
      </c>
      <c r="H23" s="110"/>
      <c r="I23" s="111"/>
      <c r="J23" s="112"/>
      <c r="K23" s="84"/>
      <c r="L23" s="84"/>
      <c r="M23" s="84"/>
      <c r="N23" s="84"/>
    </row>
    <row r="24" spans="1:14" s="85" customFormat="1" ht="13.15" x14ac:dyDescent="0.4">
      <c r="A24" s="113" t="str">
        <f>rawScores!I12</f>
        <v>IT Lifecycle</v>
      </c>
      <c r="B24" s="114"/>
      <c r="C24" s="114"/>
      <c r="D24" s="114"/>
      <c r="E24" s="114"/>
      <c r="F24" s="114"/>
      <c r="G24" s="115">
        <f t="shared" ref="G24:G25" si="2">1/3</f>
        <v>0.33333333333333331</v>
      </c>
      <c r="H24" s="110"/>
      <c r="I24" s="111"/>
      <c r="J24" s="112"/>
      <c r="K24" s="84"/>
      <c r="L24" s="84"/>
      <c r="M24" s="84"/>
      <c r="N24" s="84"/>
    </row>
    <row r="25" spans="1:14" s="85" customFormat="1" ht="13.15" x14ac:dyDescent="0.4">
      <c r="A25" s="113" t="str">
        <f>rawScores!I13</f>
        <v>IT Security und Datenschutz</v>
      </c>
      <c r="B25" s="114"/>
      <c r="C25" s="114"/>
      <c r="D25" s="114"/>
      <c r="E25" s="114"/>
      <c r="F25" s="114"/>
      <c r="G25" s="115">
        <f t="shared" si="2"/>
        <v>0.33333333333333331</v>
      </c>
      <c r="H25" s="110"/>
      <c r="I25" s="111"/>
      <c r="J25" s="112"/>
      <c r="K25" s="84"/>
      <c r="L25" s="84"/>
      <c r="M25" s="84"/>
      <c r="N25" s="84"/>
    </row>
    <row r="26" spans="1:14" s="85" customFormat="1" ht="13.15" x14ac:dyDescent="0.4">
      <c r="A26" s="107" t="str">
        <f>rawScores!I14</f>
        <v>Personal und Kompetenzen</v>
      </c>
      <c r="B26" s="108"/>
      <c r="C26" s="108"/>
      <c r="D26" s="108"/>
      <c r="E26" s="108"/>
      <c r="F26" s="108"/>
      <c r="G26" s="109">
        <f>SUM(G27:G29)</f>
        <v>1</v>
      </c>
      <c r="H26" s="249"/>
      <c r="I26" s="250"/>
      <c r="J26" s="251"/>
      <c r="K26" s="84"/>
      <c r="L26" s="84"/>
      <c r="M26" s="84"/>
      <c r="N26" s="84"/>
    </row>
    <row r="27" spans="1:14" s="85" customFormat="1" ht="13.15" x14ac:dyDescent="0.4">
      <c r="A27" s="113" t="str">
        <f>rawScores!I15</f>
        <v>Cloud Kompetenzen</v>
      </c>
      <c r="B27" s="114"/>
      <c r="C27" s="114"/>
      <c r="D27" s="114"/>
      <c r="E27" s="114"/>
      <c r="F27" s="114"/>
      <c r="G27" s="115">
        <f>1/3</f>
        <v>0.33333333333333331</v>
      </c>
      <c r="H27" s="110"/>
      <c r="I27" s="111"/>
      <c r="J27" s="112"/>
      <c r="K27" s="84"/>
      <c r="L27" s="84"/>
      <c r="M27" s="84"/>
      <c r="N27" s="84"/>
    </row>
    <row r="28" spans="1:14" s="85" customFormat="1" ht="13.15" x14ac:dyDescent="0.4">
      <c r="A28" s="113" t="str">
        <f>rawScores!I16</f>
        <v>Personalentwicklung</v>
      </c>
      <c r="B28" s="114"/>
      <c r="C28" s="114"/>
      <c r="D28" s="114"/>
      <c r="E28" s="114"/>
      <c r="F28" s="114"/>
      <c r="G28" s="115">
        <f t="shared" ref="G28:G29" si="3">1/3</f>
        <v>0.33333333333333331</v>
      </c>
      <c r="H28" s="110"/>
      <c r="I28" s="111"/>
      <c r="J28" s="112"/>
      <c r="K28" s="84"/>
      <c r="L28" s="84"/>
      <c r="M28" s="84"/>
      <c r="N28" s="84"/>
    </row>
    <row r="29" spans="1:14" s="85" customFormat="1" ht="13.15" x14ac:dyDescent="0.4">
      <c r="A29" s="113" t="str">
        <f>rawScores!I17</f>
        <v>Wissensmanagement</v>
      </c>
      <c r="B29" s="114"/>
      <c r="C29" s="114"/>
      <c r="D29" s="114"/>
      <c r="E29" s="114"/>
      <c r="F29" s="114"/>
      <c r="G29" s="115">
        <f t="shared" si="3"/>
        <v>0.33333333333333331</v>
      </c>
      <c r="H29" s="110"/>
      <c r="I29" s="111"/>
      <c r="J29" s="112"/>
      <c r="K29" s="84"/>
      <c r="L29" s="84"/>
      <c r="M29" s="84"/>
      <c r="N29" s="84"/>
    </row>
    <row r="30" spans="1:14" s="85" customFormat="1" ht="13.15" x14ac:dyDescent="0.4">
      <c r="A30" s="107" t="str">
        <f>rawScores!I18</f>
        <v>Organisation und Governance</v>
      </c>
      <c r="B30" s="108"/>
      <c r="C30" s="108"/>
      <c r="D30" s="108"/>
      <c r="E30" s="108"/>
      <c r="F30" s="108"/>
      <c r="G30" s="109">
        <f>SUM(G31:G33)</f>
        <v>1</v>
      </c>
      <c r="H30" s="110"/>
      <c r="I30" s="111"/>
      <c r="J30" s="112"/>
      <c r="K30" s="84"/>
      <c r="L30" s="84"/>
      <c r="M30" s="84"/>
      <c r="N30" s="84"/>
    </row>
    <row r="31" spans="1:14" s="85" customFormat="1" ht="13.15" x14ac:dyDescent="0.4">
      <c r="A31" s="113" t="str">
        <f>rawScores!I19</f>
        <v>Aufbau- und Ablauforganisation</v>
      </c>
      <c r="B31" s="114"/>
      <c r="C31" s="114"/>
      <c r="D31" s="114"/>
      <c r="E31" s="114"/>
      <c r="F31" s="114"/>
      <c r="G31" s="115">
        <f>1/3</f>
        <v>0.33333333333333331</v>
      </c>
      <c r="H31" s="110"/>
      <c r="I31" s="111"/>
      <c r="J31" s="112"/>
      <c r="K31" s="84"/>
      <c r="L31" s="84"/>
      <c r="M31" s="84"/>
      <c r="N31" s="84"/>
    </row>
    <row r="32" spans="1:14" ht="14.25" customHeight="1" x14ac:dyDescent="0.4">
      <c r="A32" s="113" t="str">
        <f>rawScores!I20</f>
        <v>Kommunikation</v>
      </c>
      <c r="B32" s="114"/>
      <c r="C32" s="114"/>
      <c r="D32" s="114"/>
      <c r="E32" s="114"/>
      <c r="F32" s="114"/>
      <c r="G32" s="115">
        <f t="shared" ref="G32:G33" si="4">1/3</f>
        <v>0.33333333333333331</v>
      </c>
      <c r="H32" s="110"/>
      <c r="I32" s="111"/>
      <c r="J32" s="112"/>
    </row>
    <row r="33" spans="1:14" ht="14.25" customHeight="1" x14ac:dyDescent="0.4">
      <c r="A33" s="113" t="str">
        <f>rawScores!I21</f>
        <v>Kontrollsysteme</v>
      </c>
      <c r="B33" s="114"/>
      <c r="C33" s="114"/>
      <c r="D33" s="114"/>
      <c r="E33" s="114"/>
      <c r="F33" s="114"/>
      <c r="G33" s="115">
        <f t="shared" si="4"/>
        <v>0.33333333333333331</v>
      </c>
      <c r="H33" s="110"/>
      <c r="I33" s="111"/>
      <c r="J33" s="112"/>
    </row>
    <row r="34" spans="1:14" s="85" customFormat="1" ht="13.15" x14ac:dyDescent="0.4">
      <c r="A34" s="107" t="str">
        <f>rawScores!I22</f>
        <v>Sourcing</v>
      </c>
      <c r="B34" s="108"/>
      <c r="C34" s="108"/>
      <c r="D34" s="108"/>
      <c r="E34" s="108"/>
      <c r="F34" s="108"/>
      <c r="G34" s="109">
        <f>SUM(G35:G37)</f>
        <v>1</v>
      </c>
      <c r="H34" s="110"/>
      <c r="I34" s="111"/>
      <c r="J34" s="112"/>
      <c r="K34" s="84"/>
      <c r="L34" s="84"/>
      <c r="M34" s="84"/>
      <c r="N34" s="84"/>
    </row>
    <row r="35" spans="1:14" ht="14.25" customHeight="1" x14ac:dyDescent="0.4">
      <c r="A35" s="113" t="str">
        <f>rawScores!I23</f>
        <v>Outsourcing</v>
      </c>
      <c r="B35" s="114"/>
      <c r="C35" s="114"/>
      <c r="D35" s="114"/>
      <c r="E35" s="114"/>
      <c r="F35" s="114"/>
      <c r="G35" s="115">
        <f>1/3</f>
        <v>0.33333333333333331</v>
      </c>
      <c r="H35" s="110"/>
      <c r="I35" s="111"/>
      <c r="J35" s="112"/>
    </row>
    <row r="36" spans="1:14" ht="14.25" customHeight="1" x14ac:dyDescent="0.4">
      <c r="A36" s="113" t="str">
        <f>rawScores!I24</f>
        <v>Lieferanten und Dienstleister</v>
      </c>
      <c r="B36" s="114"/>
      <c r="C36" s="114"/>
      <c r="D36" s="114"/>
      <c r="E36" s="114"/>
      <c r="F36" s="114"/>
      <c r="G36" s="115">
        <f t="shared" ref="G36:G37" si="5">1/3</f>
        <v>0.33333333333333331</v>
      </c>
      <c r="H36" s="110"/>
      <c r="I36" s="111"/>
      <c r="J36" s="112"/>
    </row>
    <row r="37" spans="1:14" ht="14.25" customHeight="1" x14ac:dyDescent="0.4">
      <c r="A37" s="113" t="str">
        <f>rawScores!I25</f>
        <v>Verträge</v>
      </c>
      <c r="B37" s="114"/>
      <c r="C37" s="114"/>
      <c r="D37" s="114"/>
      <c r="E37" s="114"/>
      <c r="F37" s="114"/>
      <c r="G37" s="115">
        <f t="shared" si="5"/>
        <v>0.33333333333333331</v>
      </c>
      <c r="H37" s="282"/>
      <c r="I37" s="283"/>
      <c r="J37" s="284"/>
    </row>
  </sheetData>
  <mergeCells count="18">
    <mergeCell ref="H17:J17"/>
    <mergeCell ref="A13:F13"/>
    <mergeCell ref="A6:B6"/>
    <mergeCell ref="C6:D6"/>
    <mergeCell ref="E6:F6"/>
    <mergeCell ref="G6:H6"/>
    <mergeCell ref="I6:J6"/>
    <mergeCell ref="A9:E9"/>
    <mergeCell ref="F9:J9"/>
    <mergeCell ref="A10:E10"/>
    <mergeCell ref="F10:J10"/>
    <mergeCell ref="A12:J12"/>
    <mergeCell ref="A3:J3"/>
    <mergeCell ref="A5:B5"/>
    <mergeCell ref="C5:D5"/>
    <mergeCell ref="E5:F5"/>
    <mergeCell ref="G5:H5"/>
    <mergeCell ref="I5:J5"/>
  </mergeCells>
  <conditionalFormatting sqref="H18:J19 H17">
    <cfRule type="containsText" dxfId="42" priority="5" operator="containsText" text="Error">
      <formula>NOT(ISERROR(SEARCH("Error",H17)))</formula>
    </cfRule>
  </conditionalFormatting>
  <conditionalFormatting sqref="A5:J5">
    <cfRule type="colorScale" priority="7">
      <colorScale>
        <cfvo type="min"/>
        <cfvo type="percentile" val="50"/>
        <cfvo type="max"/>
        <color rgb="FFF8696B"/>
        <color rgb="FFFFEB84"/>
        <color rgb="FF63BE7B"/>
      </colorScale>
    </cfRule>
  </conditionalFormatting>
  <conditionalFormatting sqref="A9:J9">
    <cfRule type="colorScale" priority="6">
      <colorScale>
        <cfvo type="min"/>
        <cfvo type="percentile" val="50"/>
        <cfvo type="max"/>
        <color rgb="FFF8696B"/>
        <color rgb="FFFFEB84"/>
        <color rgb="FF63BE7B"/>
      </colorScale>
    </cfRule>
  </conditionalFormatting>
  <conditionalFormatting sqref="H22:J22">
    <cfRule type="containsText" dxfId="41" priority="4" operator="containsText" text="Error">
      <formula>NOT(ISERROR(SEARCH("Error",H22)))</formula>
    </cfRule>
  </conditionalFormatting>
  <conditionalFormatting sqref="H26:J26">
    <cfRule type="containsText" dxfId="40" priority="3" operator="containsText" text="Error">
      <formula>NOT(ISERROR(SEARCH("Error",H26)))</formula>
    </cfRule>
  </conditionalFormatting>
  <pageMargins left="0.39370078740157483" right="0.39370078740157483" top="0.98425196850393704" bottom="0.78740157480314965" header="0.11811023622047245" footer="0.11811023622047245"/>
  <pageSetup paperSize="9" scale="90" orientation="landscape" r:id="rId1"/>
  <headerFooter>
    <oddHeader xml:space="preserve">&amp;L&amp;G
&amp;C&amp;14
&amp;16&amp;A&amp;R
&amp;G </oddHeader>
    <oddFooter>&amp;L&amp;F&amp;C&amp;P von &amp;N&amp;R&amp;D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theme="2" tint="-0.499984740745262"/>
    <pageSetUpPr fitToPage="1"/>
  </sheetPr>
  <dimension ref="A1:R36"/>
  <sheetViews>
    <sheetView view="pageBreakPreview" zoomScaleNormal="100" zoomScaleSheetLayoutView="100" workbookViewId="0">
      <selection activeCell="A13" sqref="A13"/>
    </sheetView>
  </sheetViews>
  <sheetFormatPr baseColWidth="10" defaultColWidth="11.3984375" defaultRowHeight="14.25" x14ac:dyDescent="0.45"/>
  <cols>
    <col min="1" max="1" width="35" style="19" customWidth="1"/>
    <col min="2" max="2" width="25.1328125" style="20" customWidth="1"/>
    <col min="3" max="4" width="25.1328125" style="19" customWidth="1"/>
    <col min="5" max="16384" width="11.3984375" style="19"/>
  </cols>
  <sheetData>
    <row r="1" spans="1:18" s="11" customFormat="1" ht="15.75" x14ac:dyDescent="0.5">
      <c r="A1" s="1" t="s">
        <v>189</v>
      </c>
      <c r="B1" s="2"/>
      <c r="C1" s="2"/>
      <c r="D1" s="3"/>
      <c r="E1" s="8"/>
      <c r="F1" s="8"/>
      <c r="G1" s="8"/>
      <c r="H1" s="8"/>
      <c r="I1" s="8"/>
      <c r="J1" s="8"/>
    </row>
    <row r="2" spans="1:18" s="8" customFormat="1" x14ac:dyDescent="0.45">
      <c r="A2" s="5"/>
      <c r="B2" s="6"/>
      <c r="C2" s="6"/>
      <c r="D2" s="6"/>
      <c r="E2" s="6"/>
      <c r="F2" s="6"/>
      <c r="G2" s="6"/>
      <c r="I2" s="7"/>
      <c r="J2" s="7"/>
      <c r="K2" s="7"/>
      <c r="L2" s="7"/>
      <c r="M2" s="7"/>
      <c r="N2" s="7"/>
      <c r="O2" s="7"/>
      <c r="P2" s="7"/>
      <c r="Q2" s="7"/>
      <c r="R2" s="7"/>
    </row>
    <row r="3" spans="1:18" s="11" customFormat="1" ht="13.15" x14ac:dyDescent="0.4">
      <c r="A3" s="333" t="s">
        <v>182</v>
      </c>
      <c r="B3" s="333"/>
      <c r="C3" s="333"/>
      <c r="D3" s="333"/>
    </row>
    <row r="4" spans="1:18" s="11" customFormat="1" ht="13.15" x14ac:dyDescent="0.4">
      <c r="A4" s="276" t="s">
        <v>183</v>
      </c>
      <c r="B4" s="276" t="s">
        <v>179</v>
      </c>
      <c r="C4" s="276" t="s">
        <v>180</v>
      </c>
      <c r="D4" s="276" t="s">
        <v>181</v>
      </c>
    </row>
    <row r="5" spans="1:18" s="11" customFormat="1" ht="13.15" x14ac:dyDescent="0.4">
      <c r="A5" s="13" t="str">
        <f>'Bewertung und Gewichtung'!A14</f>
        <v>IT Strategie und Planung</v>
      </c>
      <c r="B5" s="14"/>
      <c r="C5" s="72">
        <f>SUM(C6:C8)</f>
        <v>1</v>
      </c>
      <c r="D5" s="75">
        <f>SUM(D6:D8)</f>
        <v>0.7047619047619047</v>
      </c>
    </row>
    <row r="6" spans="1:18" s="11" customFormat="1" ht="13.15" x14ac:dyDescent="0.4">
      <c r="A6" s="15" t="str">
        <f>'Bewertung und Gewichtung'!A15</f>
        <v>Cloud Konzepte</v>
      </c>
      <c r="B6" s="70">
        <f>rawScores!J3</f>
        <v>0.62857142857142856</v>
      </c>
      <c r="C6" s="73">
        <f>'Bewertung und Gewichtung'!G15</f>
        <v>0.33333333333333331</v>
      </c>
      <c r="D6" s="76">
        <f>B6*C6</f>
        <v>0.2095238095238095</v>
      </c>
      <c r="G6" s="209"/>
    </row>
    <row r="7" spans="1:18" s="11" customFormat="1" ht="13.15" x14ac:dyDescent="0.4">
      <c r="A7" s="15" t="str">
        <f>'Bewertung und Gewichtung'!A16</f>
        <v>Ziele und Visionen</v>
      </c>
      <c r="B7" s="70">
        <f>rawScores!J4</f>
        <v>0.48571428571428571</v>
      </c>
      <c r="C7" s="73">
        <f>'Bewertung und Gewichtung'!G16</f>
        <v>0.33333333333333331</v>
      </c>
      <c r="D7" s="76">
        <f t="shared" ref="D7:D28" si="0">B7*C7</f>
        <v>0.16190476190476188</v>
      </c>
    </row>
    <row r="8" spans="1:18" s="11" customFormat="1" ht="13.15" x14ac:dyDescent="0.4">
      <c r="A8" s="15" t="str">
        <f>'Bewertung und Gewichtung'!A17</f>
        <v>Strategische Projekte</v>
      </c>
      <c r="B8" s="70">
        <f>rawScores!J5</f>
        <v>0.99999999999999978</v>
      </c>
      <c r="C8" s="73">
        <f>'Bewertung und Gewichtung'!G17</f>
        <v>0.33333333333333331</v>
      </c>
      <c r="D8" s="76">
        <f t="shared" si="0"/>
        <v>0.33333333333333326</v>
      </c>
    </row>
    <row r="9" spans="1:18" s="11" customFormat="1" ht="13.15" x14ac:dyDescent="0.4">
      <c r="A9" s="13" t="str">
        <f>'Bewertung und Gewichtung'!A18</f>
        <v>IT Services und Prozesse</v>
      </c>
      <c r="B9" s="71"/>
      <c r="C9" s="74">
        <f>'Bewertung und Gewichtung'!G18</f>
        <v>1</v>
      </c>
      <c r="D9" s="75">
        <f>SUM(D10:D12)</f>
        <v>0.62042735042735042</v>
      </c>
    </row>
    <row r="10" spans="1:18" s="11" customFormat="1" ht="13.15" x14ac:dyDescent="0.4">
      <c r="A10" s="15" t="str">
        <f>'Bewertung und Gewichtung'!A19</f>
        <v>Cloud Services</v>
      </c>
      <c r="B10" s="70">
        <f>rawScores!J7</f>
        <v>0.46666666666666667</v>
      </c>
      <c r="C10" s="73">
        <f>'Bewertung und Gewichtung'!G19</f>
        <v>0.33333333333333331</v>
      </c>
      <c r="D10" s="76">
        <f t="shared" si="0"/>
        <v>0.15555555555555556</v>
      </c>
    </row>
    <row r="11" spans="1:18" s="11" customFormat="1" ht="13.15" x14ac:dyDescent="0.4">
      <c r="A11" s="15" t="str">
        <f>'Bewertung und Gewichtung'!A20</f>
        <v>IT Service Management</v>
      </c>
      <c r="B11" s="70">
        <f>rawScores!J8</f>
        <v>0.43461538461538468</v>
      </c>
      <c r="C11" s="73">
        <f>'Bewertung und Gewichtung'!G20</f>
        <v>0.33333333333333331</v>
      </c>
      <c r="D11" s="76">
        <f t="shared" si="0"/>
        <v>0.14487179487179488</v>
      </c>
    </row>
    <row r="12" spans="1:18" s="11" customFormat="1" ht="13.15" x14ac:dyDescent="0.4">
      <c r="A12" s="15" t="str">
        <f>'Bewertung und Gewichtung'!A21</f>
        <v>IT Asset Management</v>
      </c>
      <c r="B12" s="70">
        <f>rawScores!J9</f>
        <v>0.96</v>
      </c>
      <c r="C12" s="73">
        <f>'Bewertung und Gewichtung'!G21</f>
        <v>0.33333333333333331</v>
      </c>
      <c r="D12" s="76">
        <f t="shared" si="0"/>
        <v>0.31999999999999995</v>
      </c>
    </row>
    <row r="13" spans="1:18" s="11" customFormat="1" ht="13.15" x14ac:dyDescent="0.4">
      <c r="A13" s="13" t="str">
        <f>'Bewertung und Gewichtung'!A22</f>
        <v>IT Infrastruktur</v>
      </c>
      <c r="B13" s="71"/>
      <c r="C13" s="74">
        <f>'Bewertung und Gewichtung'!G22</f>
        <v>1</v>
      </c>
      <c r="D13" s="75">
        <f>SUM(D14:D16)</f>
        <v>0.46571428571428569</v>
      </c>
    </row>
    <row r="14" spans="1:18" s="11" customFormat="1" ht="13.15" x14ac:dyDescent="0.4">
      <c r="A14" s="15" t="str">
        <f>'Bewertung und Gewichtung'!A23</f>
        <v>Cloud Technologien</v>
      </c>
      <c r="B14" s="70">
        <f>rawScores!J11</f>
        <v>0.45714285714285713</v>
      </c>
      <c r="C14" s="73">
        <f>'Bewertung und Gewichtung'!G23</f>
        <v>0.33333333333333331</v>
      </c>
      <c r="D14" s="76">
        <f t="shared" si="0"/>
        <v>0.15238095238095237</v>
      </c>
    </row>
    <row r="15" spans="1:18" s="11" customFormat="1" ht="13.15" x14ac:dyDescent="0.4">
      <c r="A15" s="15" t="str">
        <f>'Bewertung und Gewichtung'!A24</f>
        <v>IT Lifecycle</v>
      </c>
      <c r="B15" s="70">
        <f>rawScores!J12</f>
        <v>0.5</v>
      </c>
      <c r="C15" s="73">
        <f>'Bewertung und Gewichtung'!G24</f>
        <v>0.33333333333333331</v>
      </c>
      <c r="D15" s="76">
        <f t="shared" si="0"/>
        <v>0.16666666666666666</v>
      </c>
    </row>
    <row r="16" spans="1:18" s="11" customFormat="1" ht="13.15" x14ac:dyDescent="0.4">
      <c r="A16" s="15" t="str">
        <f>'Bewertung und Gewichtung'!A25</f>
        <v>IT Security und Datenschutz</v>
      </c>
      <c r="B16" s="70">
        <f>rawScores!J13</f>
        <v>0.44000000000000006</v>
      </c>
      <c r="C16" s="73">
        <f>'Bewertung und Gewichtung'!G25</f>
        <v>0.33333333333333331</v>
      </c>
      <c r="D16" s="76">
        <f t="shared" si="0"/>
        <v>0.14666666666666667</v>
      </c>
    </row>
    <row r="17" spans="1:4" s="11" customFormat="1" ht="13.15" x14ac:dyDescent="0.4">
      <c r="A17" s="13" t="str">
        <f>'Bewertung und Gewichtung'!A26</f>
        <v>Personal und Kompetenzen</v>
      </c>
      <c r="B17" s="71"/>
      <c r="C17" s="74">
        <f>'Bewertung und Gewichtung'!G26</f>
        <v>1</v>
      </c>
      <c r="D17" s="75">
        <f>SUM(D18:D20)</f>
        <v>0.74666666666666659</v>
      </c>
    </row>
    <row r="18" spans="1:4" s="11" customFormat="1" ht="13.15" x14ac:dyDescent="0.4">
      <c r="A18" s="141" t="str">
        <f>'Bewertung und Gewichtung'!A27</f>
        <v>Cloud Kompetenzen</v>
      </c>
      <c r="B18" s="70">
        <f>rawScores!J15</f>
        <v>0.84000000000000008</v>
      </c>
      <c r="C18" s="73">
        <f>'Bewertung und Gewichtung'!G27</f>
        <v>0.33333333333333331</v>
      </c>
      <c r="D18" s="76">
        <f t="shared" si="0"/>
        <v>0.28000000000000003</v>
      </c>
    </row>
    <row r="19" spans="1:4" s="11" customFormat="1" ht="13.15" x14ac:dyDescent="0.4">
      <c r="A19" s="141" t="str">
        <f>'Bewertung und Gewichtung'!A28</f>
        <v>Personalentwicklung</v>
      </c>
      <c r="B19" s="70">
        <f>rawScores!J16</f>
        <v>0.65714285714285703</v>
      </c>
      <c r="C19" s="73">
        <f>'Bewertung und Gewichtung'!G28</f>
        <v>0.33333333333333331</v>
      </c>
      <c r="D19" s="76">
        <f t="shared" si="0"/>
        <v>0.21904761904761899</v>
      </c>
    </row>
    <row r="20" spans="1:4" s="11" customFormat="1" ht="13.15" x14ac:dyDescent="0.4">
      <c r="A20" s="141" t="str">
        <f>'Bewertung und Gewichtung'!A29</f>
        <v>Wissensmanagement</v>
      </c>
      <c r="B20" s="70">
        <f>rawScores!J17</f>
        <v>0.74285714285714288</v>
      </c>
      <c r="C20" s="73">
        <f>'Bewertung und Gewichtung'!G29</f>
        <v>0.33333333333333331</v>
      </c>
      <c r="D20" s="76">
        <f t="shared" si="0"/>
        <v>0.24761904761904763</v>
      </c>
    </row>
    <row r="21" spans="1:4" s="11" customFormat="1" ht="13.15" x14ac:dyDescent="0.4">
      <c r="A21" s="13" t="str">
        <f>'Bewertung und Gewichtung'!A30</f>
        <v>Organisation und Governance</v>
      </c>
      <c r="B21" s="71"/>
      <c r="C21" s="74">
        <f>'Bewertung und Gewichtung'!G30</f>
        <v>1</v>
      </c>
      <c r="D21" s="75">
        <f>SUM(D22:D24)</f>
        <v>0.84179894179894177</v>
      </c>
    </row>
    <row r="22" spans="1:4" s="11" customFormat="1" ht="13.15" x14ac:dyDescent="0.4">
      <c r="A22" s="15" t="str">
        <f>'Bewertung und Gewichtung'!A31</f>
        <v>Aufbau- und Ablauforganisation</v>
      </c>
      <c r="B22" s="70">
        <f>rawScores!J19</f>
        <v>0.96666666666666656</v>
      </c>
      <c r="C22" s="73">
        <f>'Bewertung und Gewichtung'!G31</f>
        <v>0.33333333333333331</v>
      </c>
      <c r="D22" s="76">
        <f t="shared" si="0"/>
        <v>0.32222222222222219</v>
      </c>
    </row>
    <row r="23" spans="1:4" s="11" customFormat="1" ht="13.15" x14ac:dyDescent="0.4">
      <c r="A23" s="15" t="str">
        <f>'Bewertung und Gewichtung'!A32</f>
        <v>Kommunikation</v>
      </c>
      <c r="B23" s="70">
        <f>rawScores!J20</f>
        <v>0.7142857142857143</v>
      </c>
      <c r="C23" s="73">
        <f>'Bewertung und Gewichtung'!G32</f>
        <v>0.33333333333333331</v>
      </c>
      <c r="D23" s="76">
        <f t="shared" si="0"/>
        <v>0.23809523809523808</v>
      </c>
    </row>
    <row r="24" spans="1:4" s="44" customFormat="1" ht="13.15" x14ac:dyDescent="0.4">
      <c r="A24" s="15" t="str">
        <f>'Bewertung und Gewichtung'!A33</f>
        <v>Kontrollsysteme</v>
      </c>
      <c r="B24" s="70">
        <f>rawScores!J21</f>
        <v>0.84444444444444444</v>
      </c>
      <c r="C24" s="73">
        <f>'Bewertung und Gewichtung'!G33</f>
        <v>0.33333333333333331</v>
      </c>
      <c r="D24" s="76">
        <f t="shared" si="0"/>
        <v>0.28148148148148144</v>
      </c>
    </row>
    <row r="25" spans="1:4" s="11" customFormat="1" ht="13.15" x14ac:dyDescent="0.4">
      <c r="A25" s="13" t="str">
        <f>'Bewertung und Gewichtung'!A34</f>
        <v>Sourcing</v>
      </c>
      <c r="B25" s="71"/>
      <c r="C25" s="74">
        <f>'Bewertung und Gewichtung'!G34</f>
        <v>1</v>
      </c>
      <c r="D25" s="75">
        <f>SUM(D26:D28)</f>
        <v>0.77460317460317452</v>
      </c>
    </row>
    <row r="26" spans="1:4" s="44" customFormat="1" ht="13.15" x14ac:dyDescent="0.4">
      <c r="A26" s="15" t="str">
        <f>'Bewertung und Gewichtung'!A35</f>
        <v>Outsourcing</v>
      </c>
      <c r="B26" s="70">
        <f>rawScores!J23</f>
        <v>0.82857142857142851</v>
      </c>
      <c r="C26" s="73">
        <f>'Bewertung und Gewichtung'!G35</f>
        <v>0.33333333333333331</v>
      </c>
      <c r="D26" s="76">
        <f t="shared" si="0"/>
        <v>0.27619047619047615</v>
      </c>
    </row>
    <row r="27" spans="1:4" s="44" customFormat="1" ht="13.15" x14ac:dyDescent="0.4">
      <c r="A27" s="15" t="str">
        <f>'Bewertung und Gewichtung'!A36</f>
        <v>Lieferanten und Dienstleister</v>
      </c>
      <c r="B27" s="70">
        <f>rawScores!J24</f>
        <v>0.66666666666666663</v>
      </c>
      <c r="C27" s="73">
        <f>'Bewertung und Gewichtung'!G36</f>
        <v>0.33333333333333331</v>
      </c>
      <c r="D27" s="76">
        <f t="shared" si="0"/>
        <v>0.22222222222222221</v>
      </c>
    </row>
    <row r="28" spans="1:4" s="44" customFormat="1" ht="13.15" x14ac:dyDescent="0.4">
      <c r="A28" s="15" t="str">
        <f>'Bewertung und Gewichtung'!A37</f>
        <v>Verträge</v>
      </c>
      <c r="B28" s="70">
        <f>rawScores!J25</f>
        <v>0.82857142857142851</v>
      </c>
      <c r="C28" s="73">
        <f>'Bewertung und Gewichtung'!G37</f>
        <v>0.33333333333333331</v>
      </c>
      <c r="D28" s="76">
        <f t="shared" si="0"/>
        <v>0.27619047619047615</v>
      </c>
    </row>
    <row r="29" spans="1:4" s="44" customFormat="1" ht="13.15" x14ac:dyDescent="0.4">
      <c r="A29" s="12"/>
      <c r="B29" s="47"/>
      <c r="C29" s="48"/>
      <c r="D29" s="48"/>
    </row>
    <row r="30" spans="1:4" s="44" customFormat="1" ht="13.15" x14ac:dyDescent="0.4">
      <c r="A30" s="12"/>
      <c r="B30" s="47"/>
      <c r="C30" s="48"/>
      <c r="D30" s="48"/>
    </row>
    <row r="31" spans="1:4" s="11" customFormat="1" ht="13.15" x14ac:dyDescent="0.4">
      <c r="A31" s="16" t="str">
        <f>A5</f>
        <v>IT Strategie und Planung</v>
      </c>
      <c r="B31" s="17">
        <f>D5</f>
        <v>0.7047619047619047</v>
      </c>
      <c r="C31" s="42"/>
      <c r="D31" s="46"/>
    </row>
    <row r="32" spans="1:4" s="11" customFormat="1" ht="13.15" x14ac:dyDescent="0.4">
      <c r="A32" s="16" t="str">
        <f>A9</f>
        <v>IT Services und Prozesse</v>
      </c>
      <c r="B32" s="17">
        <f>D9</f>
        <v>0.62042735042735042</v>
      </c>
      <c r="C32" s="42"/>
      <c r="D32" s="46"/>
    </row>
    <row r="33" spans="1:4" s="11" customFormat="1" ht="13.15" x14ac:dyDescent="0.4">
      <c r="A33" s="16" t="str">
        <f>A13</f>
        <v>IT Infrastruktur</v>
      </c>
      <c r="B33" s="17">
        <f>D13</f>
        <v>0.46571428571428569</v>
      </c>
      <c r="C33" s="42"/>
      <c r="D33" s="46"/>
    </row>
    <row r="34" spans="1:4" s="11" customFormat="1" x14ac:dyDescent="0.45">
      <c r="A34" s="324" t="str">
        <f>A17</f>
        <v>Personal und Kompetenzen</v>
      </c>
      <c r="B34" s="17">
        <f>D17</f>
        <v>0.74666666666666659</v>
      </c>
      <c r="C34" s="42"/>
      <c r="D34" s="46"/>
    </row>
    <row r="35" spans="1:4" s="11" customFormat="1" ht="13.15" x14ac:dyDescent="0.4">
      <c r="A35" s="16" t="str">
        <f>A21</f>
        <v>Organisation und Governance</v>
      </c>
      <c r="B35" s="17">
        <f>D21</f>
        <v>0.84179894179894177</v>
      </c>
      <c r="C35" s="42"/>
      <c r="D35" s="46"/>
    </row>
    <row r="36" spans="1:4" s="11" customFormat="1" ht="13.15" x14ac:dyDescent="0.4">
      <c r="A36" s="16" t="str">
        <f>A25</f>
        <v>Sourcing</v>
      </c>
      <c r="B36" s="17">
        <f>D25</f>
        <v>0.77460317460317452</v>
      </c>
      <c r="C36" s="42"/>
      <c r="D36" s="46"/>
    </row>
  </sheetData>
  <mergeCells count="1">
    <mergeCell ref="A3:D3"/>
  </mergeCells>
  <conditionalFormatting sqref="D6:D8 D10:D12 D14:D16 D18:D20 D22:D24 D26:D28">
    <cfRule type="dataBar" priority="42">
      <dataBar>
        <cfvo type="min"/>
        <cfvo type="max"/>
        <color rgb="FF638EC6"/>
      </dataBar>
      <extLst>
        <ext xmlns:x14="http://schemas.microsoft.com/office/spreadsheetml/2009/9/main" uri="{B025F937-C7B1-47D3-B67F-A62EFF666E3E}">
          <x14:id>{2C919CB5-EB57-4BDE-9AAA-1AA6031757F1}</x14:id>
        </ext>
      </extLst>
    </cfRule>
  </conditionalFormatting>
  <conditionalFormatting sqref="D6:D8 D10:D12 D14:D16 D18:D20 D22:D24 D26:D28">
    <cfRule type="dataBar" priority="46">
      <dataBar>
        <cfvo type="min"/>
        <cfvo type="max"/>
        <color rgb="FFFF555A"/>
      </dataBar>
    </cfRule>
  </conditionalFormatting>
  <conditionalFormatting sqref="D6:D8 D10:D12 D14:D16 D18:D20 D22:D24 D26:D28">
    <cfRule type="dataBar" priority="48">
      <dataBar>
        <cfvo type="min"/>
        <cfvo type="max"/>
        <color rgb="FF638EC6"/>
      </dataBar>
      <extLst>
        <ext xmlns:x14="http://schemas.microsoft.com/office/spreadsheetml/2009/9/main" uri="{B025F937-C7B1-47D3-B67F-A62EFF666E3E}">
          <x14:id>{056B7D39-9385-43D0-AB83-07F2824DD4D8}</x14:id>
        </ext>
      </extLst>
    </cfRule>
  </conditionalFormatting>
  <pageMargins left="0.39370078740157483" right="0.39370078740157483" top="0.98425196850393704" bottom="0.78740157480314965" header="0.11811023622047245" footer="0.11811023622047245"/>
  <pageSetup paperSize="9" scale="95" orientation="landscape" r:id="rId1"/>
  <headerFooter>
    <oddHeader xml:space="preserve">&amp;L&amp;G
&amp;C&amp;14
&amp;16&amp;A&amp;R
&amp;G </oddHeader>
    <oddFooter>&amp;L&amp;F&amp;C&amp;P von &amp;N&amp;R&amp;D</oddFooter>
  </headerFooter>
  <extLst>
    <ext xmlns:x14="http://schemas.microsoft.com/office/spreadsheetml/2009/9/main" uri="{78C0D931-6437-407d-A8EE-F0AAD7539E65}">
      <x14:conditionalFormattings>
        <x14:conditionalFormatting xmlns:xm="http://schemas.microsoft.com/office/excel/2006/main">
          <x14:cfRule type="dataBar" id="{2C919CB5-EB57-4BDE-9AAA-1AA6031757F1}">
            <x14:dataBar minLength="0" maxLength="100" gradient="0">
              <x14:cfvo type="autoMin"/>
              <x14:cfvo type="autoMax"/>
              <x14:negativeFillColor rgb="FFFF0000"/>
              <x14:axisColor rgb="FF000000"/>
            </x14:dataBar>
          </x14:cfRule>
          <xm:sqref>D6:D8 D10:D12 D14:D16 D18:D20 D22:D24 D26:D28</xm:sqref>
        </x14:conditionalFormatting>
        <x14:conditionalFormatting xmlns:xm="http://schemas.microsoft.com/office/excel/2006/main">
          <x14:cfRule type="dataBar" id="{056B7D39-9385-43D0-AB83-07F2824DD4D8}">
            <x14:dataBar minLength="0" maxLength="100" gradient="0">
              <x14:cfvo type="autoMin"/>
              <x14:cfvo type="autoMax"/>
              <x14:negativeFillColor rgb="FFFF0000"/>
              <x14:axisColor rgb="FF000000"/>
            </x14:dataBar>
          </x14:cfRule>
          <xm:sqref>D6:D8 D10:D12 D14:D16 D18:D20 D22:D24 D26:D28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4"/>
  <dimension ref="A1:M179"/>
  <sheetViews>
    <sheetView zoomScale="70" zoomScaleNormal="70" workbookViewId="0">
      <selection activeCell="K34" sqref="K34"/>
    </sheetView>
  </sheetViews>
  <sheetFormatPr baseColWidth="10" defaultColWidth="9.1328125" defaultRowHeight="14.25" x14ac:dyDescent="0.45"/>
  <cols>
    <col min="1" max="1" width="32" style="8" bestFit="1" customWidth="1"/>
    <col min="2" max="2" width="14" style="8" bestFit="1" customWidth="1"/>
    <col min="3" max="3" width="186.73046875" style="222" customWidth="1"/>
    <col min="4" max="5" width="18.73046875" style="26" customWidth="1"/>
    <col min="6" max="7" width="18.73046875" style="8" customWidth="1"/>
    <col min="8" max="8" width="9.1328125" style="8"/>
    <col min="9" max="9" width="57.3984375" style="8" bestFit="1" customWidth="1"/>
    <col min="10" max="10" width="11.3984375" style="8" bestFit="1" customWidth="1"/>
    <col min="11" max="11" width="13" style="8" customWidth="1"/>
    <col min="12" max="12" width="25" style="8" bestFit="1" customWidth="1"/>
    <col min="13" max="13" width="44.1328125" style="8" customWidth="1"/>
    <col min="14" max="16384" width="9.1328125" style="8"/>
  </cols>
  <sheetData>
    <row r="1" spans="1:13" s="208" customFormat="1" ht="42.75" x14ac:dyDescent="0.45">
      <c r="A1" s="244" t="s">
        <v>5</v>
      </c>
      <c r="B1" s="244" t="s">
        <v>120</v>
      </c>
      <c r="C1" s="245" t="s">
        <v>185</v>
      </c>
      <c r="D1" s="244" t="s">
        <v>121</v>
      </c>
      <c r="E1" s="244" t="s">
        <v>22</v>
      </c>
      <c r="F1" s="244" t="s">
        <v>122</v>
      </c>
      <c r="G1" s="244" t="s">
        <v>123</v>
      </c>
      <c r="H1" s="246"/>
      <c r="I1" s="247" t="s">
        <v>198</v>
      </c>
      <c r="J1" s="246"/>
      <c r="K1" s="246"/>
      <c r="L1" s="248" t="s">
        <v>124</v>
      </c>
      <c r="M1" s="246"/>
    </row>
    <row r="2" spans="1:13" x14ac:dyDescent="0.45">
      <c r="A2" s="162" t="s">
        <v>43</v>
      </c>
      <c r="B2" s="210">
        <v>1</v>
      </c>
      <c r="C2" s="216" t="str">
        <f>'Cloud Konzepte'!C5</f>
        <v>Änderungen in den Kundenbedürfnissen, stärkerer Wettbewerbsdruck und die Verfügbarkeit neuer Technologien haben in den vergangenen Jahren Anpassungen der Unternehmensstrategie nach sich gezogen. Zur Umsatz- und Ertragssteigerung verfolgt das Unternehmen mittlerweile eine digitale Strategie und vollzieht den Wandel von analogen zu digitalen Geschäftsmodellen bzw. hat diesen bereits vollzogen.</v>
      </c>
      <c r="D2" s="164">
        <f>'Cloud Konzepte'!B5</f>
        <v>0.14285714285714285</v>
      </c>
      <c r="E2" s="163" t="str">
        <f>'Cloud Konzepte'!D5</f>
        <v>Stimme voll zu</v>
      </c>
      <c r="F2" s="162">
        <f>IF(E2="Stimme voll zu",5,(IF(E2="Stimme zu",4,(IF(E2="Weder Zustimmung noch Ablehnung",3,(IF(E2="Stimme nicht zu",2,(IF(E2="Stimme überhaupt nicht zu",1,0)))))))))</f>
        <v>5</v>
      </c>
      <c r="G2" s="165">
        <f>(F2/5)*D2</f>
        <v>0.14285714285714285</v>
      </c>
      <c r="I2" s="63" t="s">
        <v>51</v>
      </c>
      <c r="L2" s="28"/>
    </row>
    <row r="3" spans="1:13" x14ac:dyDescent="0.45">
      <c r="A3" s="162" t="s">
        <v>43</v>
      </c>
      <c r="B3" s="210">
        <v>2</v>
      </c>
      <c r="C3" s="216" t="str">
        <f>'Cloud Konzepte'!C6</f>
        <v>Die IT-Strategie leitet sich aus der Unternehmens-Strategie ab und ist mit der Geschäftsführung abgestimmt. Sie berücksichtigt Geschäftswachstums-Chancen, liefert Konzepte für IT-Services und Zielgrößen für den IT-Betrieb und zeigt darüber hinaus den Umfang zukünftigen Handelns auf.</v>
      </c>
      <c r="D3" s="164">
        <f>'Cloud Konzepte'!B6</f>
        <v>0.14285714285714285</v>
      </c>
      <c r="E3" s="163" t="str">
        <f>'Cloud Konzepte'!D6</f>
        <v>Stimme voll zu</v>
      </c>
      <c r="F3" s="162">
        <f>IF(E3="Stimme voll zu",5,(IF(E3="Stimme zu",4,(IF(E3="Weder Zustimmung noch Ablehnung",3,(IF(E3="Stimme nicht zu",2,(IF(E3="Stimme überhaupt nicht zu",1,0)))))))))</f>
        <v>5</v>
      </c>
      <c r="G3" s="165">
        <f t="shared" ref="G3:G10" si="0">(F3/5)*D3</f>
        <v>0.14285714285714285</v>
      </c>
      <c r="I3" s="64" t="s">
        <v>43</v>
      </c>
      <c r="J3" s="227">
        <f>IF(SUM(G2:G10)&gt;$M$42,SUM(G2:G10),$M$42)</f>
        <v>0.62857142857142856</v>
      </c>
      <c r="L3" s="28"/>
    </row>
    <row r="4" spans="1:13" x14ac:dyDescent="0.45">
      <c r="A4" s="162" t="s">
        <v>43</v>
      </c>
      <c r="B4" s="210">
        <v>3</v>
      </c>
      <c r="C4" s="216" t="str">
        <f>'Cloud Konzepte'!C7</f>
        <v xml:space="preserve">Strategische Ziele der IT-Organisation sind die Entwicklung neuer IT-Services bzw. die Anpassung und Optimierung etablierter IT-Services, um digitale Geschäftsmodelle grundsätzlich zu ermöglichen oder deren Umsetzung technologisch zu unterstützen. </v>
      </c>
      <c r="D4" s="164">
        <f>'Cloud Konzepte'!B7</f>
        <v>0.14285714285714285</v>
      </c>
      <c r="E4" s="163" t="str">
        <f>'Cloud Konzepte'!D7</f>
        <v>Stimme voll zu</v>
      </c>
      <c r="F4" s="162">
        <f>IF(E4="Stimme voll zu",5,(IF(E4="Stimme zu",4,(IF(E4="Weder Zustimmung noch Ablehnung",3,(IF(E4="Stimme nicht zu",2,(IF(E4="Stimme überhaupt nicht zu",1,0)))))))))</f>
        <v>5</v>
      </c>
      <c r="G4" s="165">
        <f t="shared" si="0"/>
        <v>0.14285714285714285</v>
      </c>
      <c r="I4" s="64" t="s">
        <v>28</v>
      </c>
      <c r="J4" s="227">
        <f>IF(SUM(G11:G20)&gt;$M$42,SUM(G11:G20),$M$42)</f>
        <v>0.48571428571428571</v>
      </c>
      <c r="L4" s="28"/>
      <c r="M4" s="27"/>
    </row>
    <row r="5" spans="1:13" x14ac:dyDescent="0.45">
      <c r="A5" s="162" t="s">
        <v>43</v>
      </c>
      <c r="B5" s="210">
        <v>4</v>
      </c>
      <c r="C5" s="216" t="str">
        <f>'Cloud Konzepte'!C8</f>
        <v>Im Rahmen der digitalen Transformation wurden von der IT-Organisation verschiedene IT-Betriebsmodelle für die strategischen IT-Services evaluiert, darunter die Verwendung von Cloud Services oder von gehosteten Services von externen IT-Service-Providern.</v>
      </c>
      <c r="D5" s="164">
        <f>'Cloud Konzepte'!B8</f>
        <v>0.14285714285714285</v>
      </c>
      <c r="E5" s="163" t="str">
        <f>'Cloud Konzepte'!D8</f>
        <v>Stimme voll zu</v>
      </c>
      <c r="F5" s="162">
        <f>IF(E5="Stimme voll zu",5,(IF(E5="Stimme zu",4,(IF(E5="Weder Zustimmung noch Ablehnung",3,(IF(E5="Stimme nicht zu",2,(IF(E5="Stimme überhaupt nicht zu",1,0)))))))))</f>
        <v>5</v>
      </c>
      <c r="G5" s="165">
        <f t="shared" si="0"/>
        <v>0.14285714285714285</v>
      </c>
      <c r="I5" s="64" t="s">
        <v>29</v>
      </c>
      <c r="J5" s="227">
        <f>IF(SUM(G21:G29)&gt;$M$42,SUM(G21:G29),$M$42)</f>
        <v>0.99999999999999978</v>
      </c>
      <c r="L5" s="29"/>
      <c r="M5" s="27"/>
    </row>
    <row r="6" spans="1:13" x14ac:dyDescent="0.45">
      <c r="A6" s="162" t="s">
        <v>43</v>
      </c>
      <c r="B6" s="210">
        <v>5</v>
      </c>
      <c r="C6" s="216" t="str">
        <f>'Cloud Konzepte'!C9</f>
        <v>Bei der Festlegung des Zielbilds für die IT-Services und Ableitung einer Roadmap werden - insb. für die geplante Verwendung von Cloud Services - neben Rahmenbedingungen wie bestehende IT-Infrastruktur, interne Kompetenzen, Datenschutzanforderungen, verfügbare Dienstleister und Serviceangebote auch grundlegenden Anforderungen aus dem Geschäftsbetrieb, z.B. kostenneutrale oder -reduzierte Bereitstellung der IT-Services, berücksichtigt.</v>
      </c>
      <c r="D6" s="164">
        <f>'Cloud Konzepte'!B9</f>
        <v>0.14285714285714285</v>
      </c>
      <c r="E6" s="163" t="str">
        <f>'Cloud Konzepte'!D9</f>
        <v>Weder Zustimmung noch Ablehnung (Neutral)</v>
      </c>
      <c r="F6" s="162">
        <f>IF(E6="Stimme voll zu",5,(IF(E6="Stimme zu",4,(IF(E6="Weder Zustimmung noch Ablehnung",3,(IF(E6="Stimme nicht zu",2,(IF(E6="Stimme überhaupt nicht zu",1,0)))))))))</f>
        <v>0</v>
      </c>
      <c r="G6" s="165">
        <f t="shared" si="0"/>
        <v>0</v>
      </c>
      <c r="I6" s="61" t="s">
        <v>45</v>
      </c>
      <c r="J6" s="227"/>
      <c r="L6" s="29"/>
      <c r="M6" s="27"/>
    </row>
    <row r="7" spans="1:13" x14ac:dyDescent="0.45">
      <c r="A7" s="162" t="s">
        <v>43</v>
      </c>
      <c r="B7" s="210">
        <v>6</v>
      </c>
      <c r="C7" s="216" t="str">
        <f>'Cloud Konzepte'!C10</f>
        <v>Das Management im Unternehmen befürwortet und unterstützt den digitalen Wandel und akzeptiert die sich daraus ergebenden Anpassungen in der IT-Organisation und dem IT-Betrieb. Die Umsetzung einer Cloud Strategie findet auf allen Managementebenen und bei relevanten Stakeholdern, z.B. Mitarbeiter und Sozialpartnern eine breite Zustimmung.</v>
      </c>
      <c r="D7" s="164">
        <f>'Cloud Konzepte'!B10</f>
        <v>0.14285714285714285</v>
      </c>
      <c r="E7" s="163" t="str">
        <f>'Cloud Konzepte'!D10</f>
        <v>Nein</v>
      </c>
      <c r="F7" s="162">
        <f>IF(E7="Nein",1,5)</f>
        <v>1</v>
      </c>
      <c r="G7" s="165">
        <f t="shared" si="0"/>
        <v>2.8571428571428571E-2</v>
      </c>
      <c r="I7" s="65" t="s">
        <v>30</v>
      </c>
      <c r="J7" s="227">
        <f>IF(SUM(G30:G40)&gt;$M$42,SUM(G30:G40),$M$42)</f>
        <v>0.46666666666666667</v>
      </c>
      <c r="L7" s="29"/>
      <c r="M7" s="27"/>
    </row>
    <row r="8" spans="1:13" x14ac:dyDescent="0.45">
      <c r="A8" s="162" t="s">
        <v>43</v>
      </c>
      <c r="B8" s="210">
        <v>7</v>
      </c>
      <c r="C8" s="216" t="str">
        <f>'Cloud Konzepte'!C11</f>
        <v>Für die Umsetzung der Cloud Strategie stehen ausreichende Budgets zur Verfügung.</v>
      </c>
      <c r="D8" s="164">
        <f>'Cloud Konzepte'!B11</f>
        <v>0.14285714285714285</v>
      </c>
      <c r="E8" s="163" t="str">
        <f>'Cloud Konzepte'!D11</f>
        <v>Nein</v>
      </c>
      <c r="F8" s="162">
        <f t="shared" ref="F8:F71" si="1">IF(E8="Nein",1,5)</f>
        <v>1</v>
      </c>
      <c r="G8" s="165">
        <f t="shared" ref="G8" si="2">(F8/5)*D8</f>
        <v>2.8571428571428571E-2</v>
      </c>
      <c r="I8" s="65" t="s">
        <v>31</v>
      </c>
      <c r="J8" s="227">
        <f>IF(SUM(G41:G52)&gt;$M$42,SUM(G41:G52),$M$42)</f>
        <v>0.43461538461538468</v>
      </c>
      <c r="L8" s="29"/>
      <c r="M8" s="27"/>
    </row>
    <row r="9" spans="1:13" x14ac:dyDescent="0.45">
      <c r="A9" s="162" t="s">
        <v>43</v>
      </c>
      <c r="B9" s="210">
        <v>8</v>
      </c>
      <c r="C9" s="216">
        <f>'Cloud Konzepte'!C12</f>
        <v>0</v>
      </c>
      <c r="D9" s="164">
        <f>'Cloud Konzepte'!B12</f>
        <v>0</v>
      </c>
      <c r="E9" s="163" t="str">
        <f>'Cloud Konzepte'!D12</f>
        <v>Ja</v>
      </c>
      <c r="F9" s="162">
        <f t="shared" si="1"/>
        <v>5</v>
      </c>
      <c r="G9" s="165">
        <f t="shared" si="0"/>
        <v>0</v>
      </c>
      <c r="I9" s="65" t="s">
        <v>32</v>
      </c>
      <c r="J9" s="227">
        <f>IF(SUM(G53:G64)&gt;$M$42,SUM(G53:G64),$M$42)</f>
        <v>0.96</v>
      </c>
      <c r="L9" s="29"/>
      <c r="M9" s="27"/>
    </row>
    <row r="10" spans="1:13" x14ac:dyDescent="0.45">
      <c r="A10" s="162" t="s">
        <v>43</v>
      </c>
      <c r="B10" s="210">
        <v>9</v>
      </c>
      <c r="C10" s="216">
        <f>'Cloud Konzepte'!C13</f>
        <v>0</v>
      </c>
      <c r="D10" s="164">
        <f>'Cloud Konzepte'!B13</f>
        <v>0</v>
      </c>
      <c r="E10" s="163" t="str">
        <f>'Cloud Konzepte'!D13</f>
        <v>Ja</v>
      </c>
      <c r="F10" s="162">
        <f t="shared" si="1"/>
        <v>5</v>
      </c>
      <c r="G10" s="165">
        <f t="shared" si="0"/>
        <v>0</v>
      </c>
      <c r="I10" s="62" t="s">
        <v>33</v>
      </c>
      <c r="J10" s="227"/>
      <c r="L10" s="29"/>
      <c r="M10" s="27"/>
    </row>
    <row r="11" spans="1:13" x14ac:dyDescent="0.45">
      <c r="A11" s="162" t="s">
        <v>28</v>
      </c>
      <c r="B11" s="210">
        <v>10</v>
      </c>
      <c r="C11" s="216" t="str">
        <f>'Ziele und Visionen'!C5</f>
        <v>Um die strategischen Ziele im Alltag des Unternehmens zu verankern, sind wesentliche Vorgaben aus der Cloud Strategie in einer Balanced Score Card operationalisiert. Die Umsetzung der Balanced Score Card ist maßgeblich für die Beurteilung der individuellen Zielerreichung von IT Führungskräften und IT Mitarbeitern.</v>
      </c>
      <c r="D11" s="164">
        <f>'Ziele und Visionen'!B5</f>
        <v>0.14285714285714285</v>
      </c>
      <c r="E11" s="163" t="str">
        <f>'Ziele und Visionen'!D5</f>
        <v>Stimme nicht zu</v>
      </c>
      <c r="F11" s="162">
        <f>IF(E11="Stimme voll zu",5,(IF(E11="Stimme zu",4,(IF(E11="Weder Zustimmung noch Ablehnung",3,(IF(E11="Stimme nicht zu",2,(IF(E11="Stimme überhaupt nicht zu",1,0)))))))))</f>
        <v>2</v>
      </c>
      <c r="G11" s="165">
        <f>(F11/5)*D11</f>
        <v>5.7142857142857141E-2</v>
      </c>
      <c r="I11" s="66" t="s">
        <v>46</v>
      </c>
      <c r="J11" s="227">
        <f>IF(SUM(G65:G73)&gt;$M$42,SUM(G65:G73),$M$42)</f>
        <v>0.45714285714285713</v>
      </c>
      <c r="L11" s="29"/>
      <c r="M11" s="27"/>
    </row>
    <row r="12" spans="1:13" x14ac:dyDescent="0.45">
      <c r="A12" s="162" t="s">
        <v>28</v>
      </c>
      <c r="B12" s="210">
        <v>11</v>
      </c>
      <c r="C12" s="216" t="str">
        <f>'Ziele und Visionen'!C6</f>
        <v>Die für das Unternehmen entsprechend der Cloud Strategie geeigneten bzw. vom Unternehmen verfolgten Cloud Konzepte sind in Form von Projektsteckbriefen vollständig dokumentiert.</v>
      </c>
      <c r="D12" s="164">
        <f>'Ziele und Visionen'!B6</f>
        <v>0.14285714285714285</v>
      </c>
      <c r="E12" s="163" t="str">
        <f>'Ziele und Visionen'!D6</f>
        <v>Nein</v>
      </c>
      <c r="F12" s="162">
        <f t="shared" si="1"/>
        <v>1</v>
      </c>
      <c r="G12" s="165">
        <f t="shared" ref="G12:G21" si="3">(F12/5)*D12</f>
        <v>2.8571428571428571E-2</v>
      </c>
      <c r="I12" s="66" t="s">
        <v>34</v>
      </c>
      <c r="J12" s="227">
        <f>IF(SUM(G74:G83)&gt;$M$42,SUM(G74:G83),$M$42)</f>
        <v>0.5</v>
      </c>
      <c r="L12" s="29"/>
      <c r="M12" s="27"/>
    </row>
    <row r="13" spans="1:13" x14ac:dyDescent="0.45">
      <c r="A13" s="162" t="s">
        <v>28</v>
      </c>
      <c r="B13" s="210">
        <v>12</v>
      </c>
      <c r="C13" s="216" t="str">
        <f>'Ziele und Visionen'!C7</f>
        <v>Wesentliche Bestandteile der Dokumentation der verfolgten Cloud Konzepte sind:
- ein Zielbild (Vision / Scope) und eine Roadmap (Projektplan mit Meilensteinen) zur Erreichung der definierten Ziele,
- eine Bewertung bekannter Projektrisiken bzw. kritischer Rahmenbedingungen z.B. Heterogenität der IT Infrastruktur, Kompetenzdefizite, Datenschutzanforderungen,
- eine Gesamtübersicht aller (Teil-)Projekte mit ihren jeweiligen zeitlichen und fachlichen Abhängigkeiten.</v>
      </c>
      <c r="D13" s="164">
        <f>'Ziele und Visionen'!B7</f>
        <v>0</v>
      </c>
      <c r="E13" s="163" t="str">
        <f>'Ziele und Visionen'!D7</f>
        <v>Stimme voll zu</v>
      </c>
      <c r="F13" s="162">
        <f>IF(E13="Stimme voll zu",5,(IF(E13="Stimme zu",4,(IF(E13="Weder Zustimmung noch Ablehnung",3,(IF(E13="Stimme nicht zu",2,(IF(E13="Stimme überhaupt nicht zu",1,0)))))))))</f>
        <v>5</v>
      </c>
      <c r="G13" s="165">
        <f t="shared" si="3"/>
        <v>0</v>
      </c>
      <c r="I13" s="66" t="s">
        <v>175</v>
      </c>
      <c r="J13" s="227">
        <f>IF(SUM(G84:G96)&gt;$M$42,SUM(G84:G96),$M$42)</f>
        <v>0.44000000000000006</v>
      </c>
      <c r="L13" s="29"/>
      <c r="M13" s="27"/>
    </row>
    <row r="14" spans="1:13" x14ac:dyDescent="0.45">
      <c r="A14" s="162" t="s">
        <v>28</v>
      </c>
      <c r="B14" s="210">
        <v>13</v>
      </c>
      <c r="C14" s="216" t="str">
        <f>'Ziele und Visionen'!C8</f>
        <v>Die Dokumentation wird im Rahmen von Projektreviews regelmäßig an aktuelle Entwicklungen, z.B. neue Cloud Service Provider, neue Cloud Services oder Änderungen bekannter Cloud Services, angepasst bzw. sinnvoll erweitert.</v>
      </c>
      <c r="D14" s="164">
        <f>'Ziele und Visionen'!B8</f>
        <v>0.14285714285714285</v>
      </c>
      <c r="E14" s="163" t="str">
        <f>'Ziele und Visionen'!D8</f>
        <v>Nein</v>
      </c>
      <c r="F14" s="162">
        <f t="shared" si="1"/>
        <v>1</v>
      </c>
      <c r="G14" s="165">
        <f t="shared" si="3"/>
        <v>2.8571428571428571E-2</v>
      </c>
      <c r="I14" s="59" t="s">
        <v>26</v>
      </c>
      <c r="J14" s="227"/>
      <c r="L14" s="29"/>
      <c r="M14" s="27"/>
    </row>
    <row r="15" spans="1:13" x14ac:dyDescent="0.45">
      <c r="A15" s="162" t="s">
        <v>28</v>
      </c>
      <c r="B15" s="210">
        <v>14</v>
      </c>
      <c r="C15" s="216" t="str">
        <f>'Ziele und Visionen'!C9</f>
        <v>Allen Projektbeteiligten ist ihre jeweilige Verantwortung in den (Teil-)Projekten bekannt, der Einsatz von Personal ist für die (Teil-)Projekten fest eingeplant, die Aufgaben sind klar verteilt, und Termine für die Vorlage / Abstimmung von Arbeitsergebnissen wurden verbindlich vereinbart.</v>
      </c>
      <c r="D15" s="164">
        <f>'Ziele und Visionen'!B9</f>
        <v>0.14285714285714285</v>
      </c>
      <c r="E15" s="163" t="str">
        <f>'Ziele und Visionen'!D9</f>
        <v>Stimme nicht zu</v>
      </c>
      <c r="F15" s="162">
        <f>IF(E15="Stimme voll zu",5,(IF(E15="Stimme zu",4,(IF(E15="Weder Zustimmung noch Ablehnung",3,(IF(E15="Stimme nicht zu",2,(IF(E15="Stimme überhaupt nicht zu",1,0)))))))))</f>
        <v>2</v>
      </c>
      <c r="G15" s="165">
        <f t="shared" si="3"/>
        <v>5.7142857142857141E-2</v>
      </c>
      <c r="I15" s="67" t="s">
        <v>42</v>
      </c>
      <c r="J15" s="227">
        <f>IF(SUM(G97:G103)&gt;$M$42,SUM(G97:G103),$M$42)</f>
        <v>0.84000000000000008</v>
      </c>
      <c r="L15" s="29"/>
      <c r="M15" s="27"/>
    </row>
    <row r="16" spans="1:13" x14ac:dyDescent="0.45">
      <c r="A16" s="162" t="s">
        <v>28</v>
      </c>
      <c r="B16" s="210">
        <v>15</v>
      </c>
      <c r="C16" s="216" t="str">
        <f>'Ziele und Visionen'!C10</f>
        <v>Alle Aktivitäten, die mit der Vorbereitung auf die Verwendung von Cloud Services verbunden sind, werden zentral geplant und koordiniert.</v>
      </c>
      <c r="D16" s="164">
        <f>'Ziele und Visionen'!B10</f>
        <v>0.14285714285714285</v>
      </c>
      <c r="E16" s="163" t="str">
        <f>'Ziele und Visionen'!D10</f>
        <v>Nein</v>
      </c>
      <c r="F16" s="162">
        <f t="shared" si="1"/>
        <v>1</v>
      </c>
      <c r="G16" s="165">
        <f t="shared" si="3"/>
        <v>2.8571428571428571E-2</v>
      </c>
      <c r="I16" s="67" t="s">
        <v>36</v>
      </c>
      <c r="J16" s="227">
        <f>IF(SUM(G104:G112)&gt;$M$42,SUM(G104:G112),$M$42)</f>
        <v>0.65714285714285703</v>
      </c>
      <c r="L16" s="29"/>
      <c r="M16" s="27"/>
    </row>
    <row r="17" spans="1:13" x14ac:dyDescent="0.45">
      <c r="A17" s="162" t="s">
        <v>28</v>
      </c>
      <c r="B17" s="210">
        <v>16</v>
      </c>
      <c r="C17" s="216" t="str">
        <f>'Ziele und Visionen'!C11</f>
        <v>Projektrisiken oder Rahmenbedingungen, die der Erreichung der geplanten Ziele entgegenstehen oder die Umsetzung von Cloud Services verhindern, werden aktiv verfolgt. Sofern möglich werden Maßnahmen zum Risikomanagement ergriffen oder Rahmenbedingungen angepasst.</v>
      </c>
      <c r="D17" s="164">
        <f>'Ziele und Visionen'!B11</f>
        <v>0.14285714285714285</v>
      </c>
      <c r="E17" s="163" t="str">
        <f>'Ziele und Visionen'!D11</f>
        <v>Stimme voll zu</v>
      </c>
      <c r="F17" s="162">
        <f>IF(E17="Stimme voll zu",5,(IF(E17="Stimme zu",4,(IF(E17="Weder Zustimmung noch Ablehnung",3,(IF(E17="Stimme nicht zu",2,(IF(E17="Stimme überhaupt nicht zu",1,0)))))))))</f>
        <v>5</v>
      </c>
      <c r="G17" s="165">
        <f t="shared" si="3"/>
        <v>0.14285714285714285</v>
      </c>
      <c r="I17" s="67" t="s">
        <v>37</v>
      </c>
      <c r="J17" s="227">
        <f>IF(SUM(G113:G121)&gt;$M$42,SUM(G113:G121),$M$42)</f>
        <v>0.74285714285714288</v>
      </c>
      <c r="L17" s="29"/>
      <c r="M17" s="27"/>
    </row>
    <row r="18" spans="1:13" x14ac:dyDescent="0.45">
      <c r="A18" s="162" t="s">
        <v>28</v>
      </c>
      <c r="B18" s="210">
        <v>17</v>
      </c>
      <c r="C18" s="216" t="str">
        <f>'Ziele und Visionen'!C12</f>
        <v>Für die Messung des Erfolgs aus der Umsetzung von Cloud Konzepten wurden Erfolgskriterien definiert, z.B. 
- Reduzierung der IT Betriebskosten,
- Verbesserung der Verfügbarkeit von IT Systemen und IT Services,
- Verkürzung der Time-to-Market für neue Dienstleistungen und Produkte.</v>
      </c>
      <c r="D18" s="164">
        <f>'Ziele und Visionen'!B12</f>
        <v>0.14285714285714285</v>
      </c>
      <c r="E18" s="163" t="str">
        <f>'Ziele und Visionen'!D12</f>
        <v>Stimme voll zu</v>
      </c>
      <c r="F18" s="162">
        <f>IF(E18="Stimme voll zu",5,(IF(E18="Stimme zu",4,(IF(E18="Weder Zustimmung noch Ablehnung",3,(IF(E18="Stimme nicht zu",2,(IF(E18="Stimme überhaupt nicht zu",1,0)))))))))</f>
        <v>5</v>
      </c>
      <c r="G18" s="165">
        <f t="shared" ref="G18:G20" si="4">(F18/5)*D18</f>
        <v>0.14285714285714285</v>
      </c>
      <c r="I18" s="60" t="s">
        <v>27</v>
      </c>
      <c r="J18" s="228"/>
      <c r="L18" s="29"/>
      <c r="M18" s="27"/>
    </row>
    <row r="19" spans="1:13" x14ac:dyDescent="0.45">
      <c r="A19" s="162" t="s">
        <v>28</v>
      </c>
      <c r="B19" s="210">
        <v>18</v>
      </c>
      <c r="C19" s="216">
        <f>'Ziele und Visionen'!C13</f>
        <v>0</v>
      </c>
      <c r="D19" s="164">
        <f>'Ziele und Visionen'!B13</f>
        <v>0</v>
      </c>
      <c r="E19" s="163" t="str">
        <f>'Ziele und Visionen'!D13</f>
        <v>Ja</v>
      </c>
      <c r="F19" s="162">
        <f t="shared" si="1"/>
        <v>5</v>
      </c>
      <c r="G19" s="165">
        <f t="shared" si="4"/>
        <v>0</v>
      </c>
      <c r="I19" s="68" t="s">
        <v>49</v>
      </c>
      <c r="J19" s="228">
        <f>IF(SUM(G122:G129)&gt;$M$42,SUM(G122:G129),$M$42)</f>
        <v>0.96666666666666656</v>
      </c>
      <c r="L19" s="29"/>
      <c r="M19" s="27"/>
    </row>
    <row r="20" spans="1:13" x14ac:dyDescent="0.45">
      <c r="A20" s="162" t="s">
        <v>28</v>
      </c>
      <c r="B20" s="210">
        <v>19</v>
      </c>
      <c r="C20" s="216">
        <f>'Ziele und Visionen'!C14</f>
        <v>0</v>
      </c>
      <c r="D20" s="164">
        <f>'Ziele und Visionen'!B14</f>
        <v>0</v>
      </c>
      <c r="E20" s="163" t="str">
        <f>'Ziele und Visionen'!D14</f>
        <v>Ja</v>
      </c>
      <c r="F20" s="162">
        <f t="shared" si="1"/>
        <v>5</v>
      </c>
      <c r="G20" s="165">
        <f t="shared" si="4"/>
        <v>0</v>
      </c>
      <c r="I20" s="68" t="s">
        <v>38</v>
      </c>
      <c r="J20" s="228">
        <f>IF(SUM(G130:G138)&gt;$M$42,SUM(G130:G138),$M$42)</f>
        <v>0.7142857142857143</v>
      </c>
      <c r="L20" s="29"/>
      <c r="M20" s="27"/>
    </row>
    <row r="21" spans="1:13" x14ac:dyDescent="0.45">
      <c r="A21" s="162" t="s">
        <v>29</v>
      </c>
      <c r="B21" s="210">
        <v>20</v>
      </c>
      <c r="C21" s="216" t="str">
        <f>'Strategische Projekte'!C5</f>
        <v>Das Unternehmen durchläuft aktuell eine Re-Organisation - auch innerhalb der IT bzw. das Unternehmen plant eine Re-Organisation, z.B. 
- im Rahmen einer Internationalisierungs-Initiative,
- im Rahmen eines Unternehmenskaufs oder -verkaufs, 
- im Rahmen eines Outsourcings.</v>
      </c>
      <c r="D21" s="164">
        <f>'Strategische Projekte'!B5</f>
        <v>0.14285714285714285</v>
      </c>
      <c r="E21" s="164" t="str">
        <f>'Strategische Projekte'!D5</f>
        <v>Ja</v>
      </c>
      <c r="F21" s="162">
        <f t="shared" si="1"/>
        <v>5</v>
      </c>
      <c r="G21" s="165">
        <f t="shared" si="3"/>
        <v>0.14285714285714285</v>
      </c>
      <c r="I21" s="68" t="s">
        <v>39</v>
      </c>
      <c r="J21" s="228">
        <f>IF(SUM(G139:G150)&gt;$M$42,SUM(G139:G150),$M$42)</f>
        <v>0.84444444444444444</v>
      </c>
      <c r="L21" s="29"/>
      <c r="M21" s="27"/>
    </row>
    <row r="22" spans="1:13" x14ac:dyDescent="0.45">
      <c r="A22" s="162" t="s">
        <v>29</v>
      </c>
      <c r="B22" s="210">
        <v>21</v>
      </c>
      <c r="C22" s="216" t="str">
        <f>'Strategische Projekte'!C6</f>
        <v>Es werden bereits in größerem Umfang Hosting-Dienstleistungen von IT-Service-Providern genutzt bzw. das Unternehmen befindet sich aktuell in einem Projekt zum Outsourcing von IT-Services oder in einem Projekt zum Wechsel des IT-Service-Providers, z.B. 
- für Datacenter-Betrieb (Housing / Co-Location / Hosting),
- Netzwerkservices und Telekommunikation,
- Storage,
- IT-Security.</v>
      </c>
      <c r="D22" s="164">
        <f>'Strategische Projekte'!B6</f>
        <v>0.14285714285714285</v>
      </c>
      <c r="E22" s="164" t="str">
        <f>'Strategische Projekte'!D6</f>
        <v>Ja</v>
      </c>
      <c r="F22" s="162">
        <f t="shared" si="1"/>
        <v>5</v>
      </c>
      <c r="G22" s="165">
        <f t="shared" ref="G22:G29" si="5">(F22/5)*D22</f>
        <v>0.14285714285714285</v>
      </c>
      <c r="I22" s="58" t="s">
        <v>44</v>
      </c>
      <c r="J22" s="227"/>
      <c r="L22" s="29"/>
      <c r="M22" s="27"/>
    </row>
    <row r="23" spans="1:13" x14ac:dyDescent="0.45">
      <c r="A23" s="162" t="s">
        <v>29</v>
      </c>
      <c r="B23" s="210">
        <v>22</v>
      </c>
      <c r="C23" s="216" t="str">
        <f>'Strategische Projekte'!C7</f>
        <v>Aus Kostenerwägungen, zur Reduzierung von IT-Betriebsrisiken, auf Grund von Anforderungen an die Sicherheit von IT-Systemen etc. werden aktuell verschiedene Initiativen zur Konsolidierung und Standardisierung der IT verfolgt, u.a.
- Optimierung der Domänen-Architektur und Harmonisierung des / der Active Directories,
- Umsetzung eines User-Identity-Managements mit Single Sign On,
- Virtualisierung von Client- und Serverbetriebssystemumgebungen,
- Einführung von Verschlüsselungstechnologien,
- Verwendung von eDiscovery Lösungen.</v>
      </c>
      <c r="D23" s="164">
        <f>'Strategische Projekte'!B7</f>
        <v>0.14285714285714285</v>
      </c>
      <c r="E23" s="164" t="str">
        <f>'Strategische Projekte'!D7</f>
        <v>Ja</v>
      </c>
      <c r="F23" s="162">
        <f t="shared" si="1"/>
        <v>5</v>
      </c>
      <c r="G23" s="165">
        <f t="shared" si="5"/>
        <v>0.14285714285714285</v>
      </c>
      <c r="I23" s="69" t="s">
        <v>50</v>
      </c>
      <c r="J23" s="228">
        <f>IF(SUM(G151:G159)&gt;$M$42,SUM(G151:G159),$M$42)</f>
        <v>0.82857142857142851</v>
      </c>
      <c r="L23" s="29"/>
      <c r="M23" s="27"/>
    </row>
    <row r="24" spans="1:13" x14ac:dyDescent="0.45">
      <c r="A24" s="162" t="s">
        <v>29</v>
      </c>
      <c r="B24" s="210">
        <v>23</v>
      </c>
      <c r="C24" s="216" t="str">
        <f>'Strategische Projekte'!C8</f>
        <v>Bestimmt durch den IT-Lifecycle oder zur Sicherstellung der Konnektivität mit Kunden und Lieferanten durchläuft bzw. plant das Unternehmen größere Migrations- / Transitionsprojekte, z.B. 
- Roll-Out eines neuen Client- oder Serverbetriebssystems, 
- Roll-Out neuer Client- oder Serverhardware, 
- Umzug des Rechenzentrums.</v>
      </c>
      <c r="D24" s="164">
        <f>'Strategische Projekte'!B8</f>
        <v>0.14285714285714285</v>
      </c>
      <c r="E24" s="164" t="str">
        <f>'Strategische Projekte'!D8</f>
        <v>Ja</v>
      </c>
      <c r="F24" s="162">
        <f t="shared" si="1"/>
        <v>5</v>
      </c>
      <c r="G24" s="165">
        <f t="shared" si="5"/>
        <v>0.14285714285714285</v>
      </c>
      <c r="I24" s="69" t="s">
        <v>40</v>
      </c>
      <c r="J24" s="228">
        <f>IF(SUM(G160:G168)&gt;$M$42,SUM(G160:G168),$M$42)</f>
        <v>0.66666666666666663</v>
      </c>
      <c r="K24" s="51"/>
      <c r="L24" s="29"/>
      <c r="M24" s="27"/>
    </row>
    <row r="25" spans="1:13" x14ac:dyDescent="0.45">
      <c r="A25" s="162" t="s">
        <v>29</v>
      </c>
      <c r="B25" s="210">
        <v>24</v>
      </c>
      <c r="C25" s="216" t="str">
        <f>'Strategische Projekte'!C9</f>
        <v>Als Teil von IT-Migrations- / Transitionsprojekte nimmt das Unternehmen Anpassungen im IT-Service- Management vor bzw. plant solche Anpassungen, insb. in den Bereichen
- Configuration Management, 
- Service Testing &amp; Validation, 
- Release &amp; Deployment Management, 
- Change Management.</v>
      </c>
      <c r="D25" s="164">
        <f>'Strategische Projekte'!B9</f>
        <v>0.14285714285714285</v>
      </c>
      <c r="E25" s="164" t="str">
        <f>'Strategische Projekte'!D9</f>
        <v>Ja</v>
      </c>
      <c r="F25" s="162">
        <f t="shared" si="1"/>
        <v>5</v>
      </c>
      <c r="G25" s="165">
        <f t="shared" si="5"/>
        <v>0.14285714285714285</v>
      </c>
      <c r="I25" s="69" t="s">
        <v>41</v>
      </c>
      <c r="J25" s="228">
        <f>IF(SUM(G169:G177)&gt;$M$42,SUM(G169:G177),$M$42)</f>
        <v>0.82857142857142851</v>
      </c>
      <c r="K25" s="51"/>
      <c r="L25" s="29"/>
      <c r="M25" s="27"/>
    </row>
    <row r="26" spans="1:13" x14ac:dyDescent="0.45">
      <c r="A26" s="162" t="s">
        <v>29</v>
      </c>
      <c r="B26" s="210">
        <v>25</v>
      </c>
      <c r="C26" s="216" t="str">
        <f>'Strategische Projekte'!C10</f>
        <v>Das Unternehmen plant die Einführung neuer Arbeitsplatz- / Arbeitszeitmodelle bzw. befindet sich in der Umsetzung entsprechender Konzepte, z.B. 
- Heimarbeitsplätze, 
- Mobile Arbeitsplätze, 
- Bring Your Own Device.</v>
      </c>
      <c r="D26" s="164">
        <f>'Strategische Projekte'!B10</f>
        <v>0.14285714285714285</v>
      </c>
      <c r="E26" s="164" t="str">
        <f>'Strategische Projekte'!D10</f>
        <v>Ja</v>
      </c>
      <c r="F26" s="162">
        <f t="shared" si="1"/>
        <v>5</v>
      </c>
      <c r="G26" s="165">
        <f t="shared" si="5"/>
        <v>0.14285714285714285</v>
      </c>
      <c r="M26" s="27"/>
    </row>
    <row r="27" spans="1:13" x14ac:dyDescent="0.45">
      <c r="A27" s="162" t="s">
        <v>29</v>
      </c>
      <c r="B27" s="210">
        <v>26</v>
      </c>
      <c r="C27" s="216" t="str">
        <f>'Strategische Projekte'!C11</f>
        <v>Alle Projekte, deren Zielerreichung mit der Umsetzung von Cloud Konzepten eng verbunden ist bzw. deren Durchführung maßgeblich von der Umsetzung von Cloud Konzepten beeinflusst wird, werden über ein Projektmanagement-Office koordiniert, d.h.
- Projekt- und Meilensteinplanung,
- Abstimmung zwischen den Projektteams,
- Austausch von Projektergebnissen.</v>
      </c>
      <c r="D27" s="164">
        <f>'Strategische Projekte'!B11</f>
        <v>0.14285714285714285</v>
      </c>
      <c r="E27" s="164" t="str">
        <f>'Strategische Projekte'!D11</f>
        <v>Stimme voll zu</v>
      </c>
      <c r="F27" s="162">
        <f>IF(E27="Stimme voll zu",5,(IF(E27="Stimme zu",4,(IF(E27="Weder Zustimmung noch Ablehnung",3,(IF(E27="Stimme nicht zu",2,(IF(E27="Stimme überhaupt nicht zu",1,0)))))))))</f>
        <v>5</v>
      </c>
      <c r="G27" s="165">
        <f t="shared" ref="G27" si="6">(F27/5)*D27</f>
        <v>0.14285714285714285</v>
      </c>
      <c r="I27" s="24" t="str">
        <f>'Microsoft Online Services'!A5</f>
        <v>Es werden bereits Microsoft Office 365 Services verwendet.</v>
      </c>
      <c r="J27" s="25"/>
      <c r="K27" s="24" t="s">
        <v>117</v>
      </c>
      <c r="L27" s="24" t="s">
        <v>193</v>
      </c>
      <c r="M27" s="322" t="s">
        <v>119</v>
      </c>
    </row>
    <row r="28" spans="1:13" x14ac:dyDescent="0.45">
      <c r="A28" s="162" t="s">
        <v>29</v>
      </c>
      <c r="B28" s="210">
        <v>27</v>
      </c>
      <c r="C28" s="216">
        <f>'Strategische Projekte'!C12</f>
        <v>0</v>
      </c>
      <c r="D28" s="164">
        <f>'Strategische Projekte'!B12</f>
        <v>0</v>
      </c>
      <c r="E28" s="164" t="str">
        <f>'Strategische Projekte'!D12</f>
        <v>Ja</v>
      </c>
      <c r="F28" s="162">
        <f t="shared" si="1"/>
        <v>5</v>
      </c>
      <c r="G28" s="165">
        <f t="shared" si="5"/>
        <v>0</v>
      </c>
      <c r="I28" s="223" t="str">
        <f>'Microsoft Online Services'!A6</f>
        <v>Office Online</v>
      </c>
      <c r="J28" s="223" t="str">
        <f>'Microsoft Online Services'!B6</f>
        <v>Ja</v>
      </c>
      <c r="K28" s="8">
        <f>IF(J28="Ja",1,0)</f>
        <v>1</v>
      </c>
      <c r="L28" s="321">
        <f>'Microsoft Online Services'!C6</f>
        <v>0.95</v>
      </c>
      <c r="M28" s="224">
        <f t="shared" ref="M28:M36" si="7">IF($K$42=0,0,(K28/$K$43))*L28</f>
        <v>7.3076923076923081E-2</v>
      </c>
    </row>
    <row r="29" spans="1:13" x14ac:dyDescent="0.45">
      <c r="A29" s="162" t="s">
        <v>29</v>
      </c>
      <c r="B29" s="210">
        <v>28</v>
      </c>
      <c r="C29" s="216">
        <f>'Strategische Projekte'!C13</f>
        <v>0</v>
      </c>
      <c r="D29" s="164">
        <f>'Strategische Projekte'!B13</f>
        <v>0</v>
      </c>
      <c r="E29" s="164" t="str">
        <f>'Strategische Projekte'!D13</f>
        <v>Ja</v>
      </c>
      <c r="F29" s="162">
        <f t="shared" si="1"/>
        <v>5</v>
      </c>
      <c r="G29" s="165">
        <f t="shared" si="5"/>
        <v>0</v>
      </c>
      <c r="I29" s="223" t="str">
        <f>'Microsoft Online Services'!A7</f>
        <v>OneDrive</v>
      </c>
      <c r="J29" s="223" t="str">
        <f>'Microsoft Online Services'!B7</f>
        <v>Ja</v>
      </c>
      <c r="K29" s="8">
        <f t="shared" ref="K29:K41" si="8">IF(J29="Ja",1,0)</f>
        <v>1</v>
      </c>
      <c r="L29" s="321">
        <f>'Microsoft Online Services'!C7</f>
        <v>0.5</v>
      </c>
      <c r="M29" s="224">
        <f t="shared" si="7"/>
        <v>3.8461538461538464E-2</v>
      </c>
    </row>
    <row r="30" spans="1:13" x14ac:dyDescent="0.45">
      <c r="A30" s="166" t="s">
        <v>30</v>
      </c>
      <c r="B30" s="211">
        <v>29</v>
      </c>
      <c r="C30" s="217" t="str">
        <f>'Cloud Services'!C5</f>
        <v>Die Verwendung von Cloud Services wurde im Rahmen eines Proof of Concepts (PoC) und / oder einer Pilotierung verprobt.</v>
      </c>
      <c r="D30" s="167">
        <f>'Cloud Services'!B5</f>
        <v>0.1111111111111111</v>
      </c>
      <c r="E30" s="167" t="str">
        <f>'Cloud Services'!D5</f>
        <v>Ja</v>
      </c>
      <c r="F30" s="166">
        <f t="shared" si="1"/>
        <v>5</v>
      </c>
      <c r="G30" s="168">
        <f t="shared" ref="G30:G50" si="9">(F30/5)*D30</f>
        <v>0.1111111111111111</v>
      </c>
      <c r="I30" s="223" t="str">
        <f>'Microsoft Online Services'!A8</f>
        <v>Yammer</v>
      </c>
      <c r="J30" s="223" t="str">
        <f>'Microsoft Online Services'!B8</f>
        <v>Nein</v>
      </c>
      <c r="K30" s="8">
        <f t="shared" si="8"/>
        <v>0</v>
      </c>
      <c r="L30" s="321">
        <f>'Microsoft Online Services'!C8</f>
        <v>0</v>
      </c>
      <c r="M30" s="224">
        <f t="shared" si="7"/>
        <v>0</v>
      </c>
    </row>
    <row r="31" spans="1:13" x14ac:dyDescent="0.45">
      <c r="A31" s="166" t="s">
        <v>30</v>
      </c>
      <c r="B31" s="211">
        <v>30</v>
      </c>
      <c r="C31" s="217" t="str">
        <f>'Cloud Services'!C6</f>
        <v>Im Ergebnis des PoCs und Pilotprojekts wurden keine signifikanten Risiken für die Verwendung von Cloud Services festgestellt, z.B.
- fehlende Netzwerkanbindung, unzureichende Netzwerkbandbreiten oder zu hohe Latenz,
- mangelnde Kompatibilität zu anderen IT-Systemen und IT-Services,
- eingeschränkte Konnektivität zu IT-Systemen von Kunden, Lieferanten und Dienstleistern.
- nicht erfüllte Datenschutzanforderungen oder IT-Sicherheitsvorgaben.</v>
      </c>
      <c r="D31" s="167">
        <f>'Cloud Services'!B6</f>
        <v>0.1111111111111111</v>
      </c>
      <c r="E31" s="167" t="str">
        <f>'Cloud Services'!D6</f>
        <v>Weder Zustimmung noch Ablehnung (Neutral)</v>
      </c>
      <c r="F31" s="166">
        <f t="shared" ref="F31:F38" si="10">IF(E31="Stimme voll zu",5,(IF(E31="Stimme zu",4,(IF(E31="Weder Zustimmung noch Ablehnung",3,(IF(E31="Stimme nicht zu",2,(IF(E31="Stimme überhaupt nicht zu",1,0)))))))))</f>
        <v>0</v>
      </c>
      <c r="G31" s="168">
        <f t="shared" ref="G31:G40" si="11">(F31/5)*D31</f>
        <v>0</v>
      </c>
      <c r="I31" s="223" t="str">
        <f>'Microsoft Online Services'!A9</f>
        <v>Skype for Business</v>
      </c>
      <c r="J31" s="223" t="str">
        <f>'Microsoft Online Services'!B9</f>
        <v>Ja</v>
      </c>
      <c r="K31" s="8">
        <f t="shared" ref="K31:K36" si="12">IF(J31="Ja",1,0)</f>
        <v>1</v>
      </c>
      <c r="L31" s="321">
        <f>'Microsoft Online Services'!C9</f>
        <v>0.9</v>
      </c>
      <c r="M31" s="224">
        <f t="shared" si="7"/>
        <v>6.9230769230769235E-2</v>
      </c>
    </row>
    <row r="32" spans="1:13" x14ac:dyDescent="0.45">
      <c r="A32" s="166" t="s">
        <v>30</v>
      </c>
      <c r="B32" s="211">
        <v>31</v>
      </c>
      <c r="C32" s="217" t="str">
        <f>'Cloud Services'!C7</f>
        <v>Die aus dem PoC und / oder dem Pilotprojekt gewonnen Erfahrungen wurden bei der finalen Ausgestaltung der Cloud Konzepte berücksichtigt.</v>
      </c>
      <c r="D32" s="167">
        <f>'Cloud Services'!B7</f>
        <v>0.1111111111111111</v>
      </c>
      <c r="E32" s="167" t="str">
        <f>'Cloud Services'!D7</f>
        <v>Weder Zustimmung noch Ablehnung (Neutral)</v>
      </c>
      <c r="F32" s="166">
        <f t="shared" si="10"/>
        <v>0</v>
      </c>
      <c r="G32" s="168">
        <f t="shared" si="11"/>
        <v>0</v>
      </c>
      <c r="I32" s="223" t="str">
        <f>'Microsoft Online Services'!A10</f>
        <v>Teams</v>
      </c>
      <c r="J32" s="223" t="str">
        <f>'Microsoft Online Services'!B10</f>
        <v>Ja</v>
      </c>
      <c r="K32" s="8">
        <f t="shared" si="12"/>
        <v>1</v>
      </c>
      <c r="L32" s="321">
        <f>'Microsoft Online Services'!C10</f>
        <v>0.2</v>
      </c>
      <c r="M32" s="224">
        <f t="shared" si="7"/>
        <v>1.5384615384615385E-2</v>
      </c>
    </row>
    <row r="33" spans="1:13" x14ac:dyDescent="0.45">
      <c r="A33" s="166" t="s">
        <v>30</v>
      </c>
      <c r="B33" s="211">
        <v>32</v>
      </c>
      <c r="C33" s="217" t="str">
        <f>'Cloud Services'!C8</f>
        <v>Das Unternehmen setzt bei der Verwendung von Cloud Services entweder auf Angebote aus Public-Clouds (Angebote frei zugänglicher Provider, die ihre Dienste offen über das Internet zugänglich machen) oder das Unternehmen verfolgt einen Hybrid-Cloud Ansatz, d.h. Verbindung zwischen Private- Cloud (Eigenbetrieb von IT-Services) und Public-Cloud.</v>
      </c>
      <c r="D33" s="167">
        <f>'Cloud Services'!B8</f>
        <v>0.1111111111111111</v>
      </c>
      <c r="E33" s="167" t="str">
        <f>'Cloud Services'!D8</f>
        <v>Stimme voll zu</v>
      </c>
      <c r="F33" s="166">
        <f t="shared" si="10"/>
        <v>5</v>
      </c>
      <c r="G33" s="168">
        <f t="shared" si="11"/>
        <v>0.1111111111111111</v>
      </c>
      <c r="I33" s="223" t="str">
        <f>'Microsoft Online Services'!A11</f>
        <v>Planner</v>
      </c>
      <c r="J33" s="223" t="str">
        <f>'Microsoft Online Services'!B11</f>
        <v>Ja</v>
      </c>
      <c r="K33" s="8">
        <f t="shared" si="12"/>
        <v>1</v>
      </c>
      <c r="L33" s="321">
        <f>'Microsoft Online Services'!C11</f>
        <v>0.2</v>
      </c>
      <c r="M33" s="224">
        <f t="shared" si="7"/>
        <v>1.5384615384615385E-2</v>
      </c>
    </row>
    <row r="34" spans="1:13" x14ac:dyDescent="0.45">
      <c r="A34" s="166" t="s">
        <v>30</v>
      </c>
      <c r="B34" s="211">
        <v>33</v>
      </c>
      <c r="C34" s="217" t="str">
        <f>'Cloud Services'!C9</f>
        <v>Es stehen im Unternehmen seit mehr als 12 Monaten IaaS (Infrastructure as a Service) Cloud Services zur Verfügung, z.B. Microsoft Azure, und die Nutzung geht deutlich über ein Proof of Concept und / oder eine Pilotierung hinaus.</v>
      </c>
      <c r="D34" s="167">
        <f>'Cloud Services'!B9</f>
        <v>0.1111111111111111</v>
      </c>
      <c r="E34" s="167" t="str">
        <f>'Cloud Services'!D9</f>
        <v>Stimme nicht zu</v>
      </c>
      <c r="F34" s="166">
        <f t="shared" si="10"/>
        <v>2</v>
      </c>
      <c r="G34" s="168">
        <f t="shared" si="11"/>
        <v>4.4444444444444446E-2</v>
      </c>
      <c r="I34" s="223" t="str">
        <f>'Microsoft Online Services'!A12</f>
        <v>Exchange</v>
      </c>
      <c r="J34" s="223" t="str">
        <f>'Microsoft Online Services'!B12</f>
        <v>Ja</v>
      </c>
      <c r="K34" s="8">
        <f t="shared" si="12"/>
        <v>1</v>
      </c>
      <c r="L34" s="321">
        <f>'Microsoft Online Services'!C12</f>
        <v>0.95</v>
      </c>
      <c r="M34" s="224">
        <f t="shared" si="7"/>
        <v>7.3076923076923081E-2</v>
      </c>
    </row>
    <row r="35" spans="1:13" x14ac:dyDescent="0.45">
      <c r="A35" s="166" t="s">
        <v>30</v>
      </c>
      <c r="B35" s="211">
        <v>34</v>
      </c>
      <c r="C35" s="217" t="str">
        <f>'Cloud Services'!C10</f>
        <v>Es stehen im Unternehmen seit mehr als 12 Monaten PaaS (Platform as a Service) Cloud Services zur Verfügung, z.B. Microsoft Azure, und die Nutzung geht deutlich über ein Proof of Concept und / oder eine Pilotierung hinaus.</v>
      </c>
      <c r="D35" s="167">
        <f>'Cloud Services'!B10</f>
        <v>0.1111111111111111</v>
      </c>
      <c r="E35" s="167" t="str">
        <f>'Cloud Services'!D10</f>
        <v>Stimme nicht zu</v>
      </c>
      <c r="F35" s="166">
        <f t="shared" si="10"/>
        <v>2</v>
      </c>
      <c r="G35" s="168">
        <f t="shared" si="11"/>
        <v>4.4444444444444446E-2</v>
      </c>
      <c r="I35" s="223" t="str">
        <f>'Microsoft Online Services'!A13</f>
        <v>SharePoint</v>
      </c>
      <c r="J35" s="223" t="str">
        <f>'Microsoft Online Services'!B13</f>
        <v>Ja</v>
      </c>
      <c r="K35" s="8">
        <f t="shared" si="12"/>
        <v>1</v>
      </c>
      <c r="L35" s="321">
        <f>'Microsoft Online Services'!C13</f>
        <v>0.95</v>
      </c>
      <c r="M35" s="224">
        <f t="shared" si="7"/>
        <v>7.3076923076923081E-2</v>
      </c>
    </row>
    <row r="36" spans="1:13" x14ac:dyDescent="0.45">
      <c r="A36" s="166" t="s">
        <v>30</v>
      </c>
      <c r="B36" s="211">
        <v>35</v>
      </c>
      <c r="C36" s="217" t="str">
        <f>'Cloud Services'!C11</f>
        <v>Es stehen im Unternehmen seit mehr als 12 Monaten SaaS (Software as a Service) Cloud Services zur Verfügung, z.B. Office 365, und die Nutzung geht deutlich über ein Proof of Concept und / oder eine Pilotierung hinaus.</v>
      </c>
      <c r="D36" s="167">
        <f>'Cloud Services'!B11</f>
        <v>0.1111111111111111</v>
      </c>
      <c r="E36" s="167" t="str">
        <f>'Cloud Services'!D11</f>
        <v>Stimme voll zu</v>
      </c>
      <c r="F36" s="166">
        <f t="shared" si="10"/>
        <v>5</v>
      </c>
      <c r="G36" s="168">
        <f t="shared" si="11"/>
        <v>0.1111111111111111</v>
      </c>
      <c r="I36" s="223" t="str">
        <f>'Microsoft Online Services'!A14</f>
        <v>Dynamics</v>
      </c>
      <c r="J36" s="223" t="str">
        <f>'Microsoft Online Services'!B14</f>
        <v>Nein</v>
      </c>
      <c r="K36" s="8">
        <f t="shared" si="12"/>
        <v>0</v>
      </c>
      <c r="L36" s="321">
        <f>'Microsoft Online Services'!C14</f>
        <v>0</v>
      </c>
      <c r="M36" s="224">
        <f t="shared" si="7"/>
        <v>0</v>
      </c>
    </row>
    <row r="37" spans="1:13" x14ac:dyDescent="0.45">
      <c r="A37" s="166" t="s">
        <v>30</v>
      </c>
      <c r="B37" s="211">
        <v>36</v>
      </c>
      <c r="C37" s="217" t="str">
        <f>'Cloud Services'!C12</f>
        <v xml:space="preserve">Es existiert eine Roadmap für den Roll-Out von Cloud Services mit klaren Meilensteinen und Mengengerüsten für deren Bereitstellung und Nutzung. </v>
      </c>
      <c r="D37" s="167">
        <f>'Cloud Services'!B12</f>
        <v>0.1111111111111111</v>
      </c>
      <c r="E37" s="167" t="str">
        <f>'Cloud Services'!D12</f>
        <v>Stimme nicht zu</v>
      </c>
      <c r="F37" s="166">
        <f t="shared" si="10"/>
        <v>2</v>
      </c>
      <c r="G37" s="168">
        <f t="shared" si="11"/>
        <v>4.4444444444444446E-2</v>
      </c>
      <c r="I37" s="24" t="str">
        <f>'Microsoft Online Services'!A15</f>
        <v>Es werden bereits Microsoft Azure Services verwendet.</v>
      </c>
      <c r="J37" s="25"/>
      <c r="K37" s="25"/>
      <c r="L37" s="321"/>
      <c r="M37" s="25"/>
    </row>
    <row r="38" spans="1:13" x14ac:dyDescent="0.45">
      <c r="A38" s="166" t="s">
        <v>30</v>
      </c>
      <c r="B38" s="211">
        <v>37</v>
      </c>
      <c r="C38" s="217" t="str">
        <f>'Cloud Services'!C13</f>
        <v>Mit der Nutzung von Cloud Services über eine Public- oder Hybrid-Cloud ist der Bedarf nach On Premise Software im Unternehmen deutlich zurückgegangen. Der Rückbau der On Premise Nutzung ist wesentlicher Bestandteil der Cloud Roadmap.</v>
      </c>
      <c r="D38" s="167">
        <f>'Cloud Services'!B13</f>
        <v>0.1111111111111111</v>
      </c>
      <c r="E38" s="167" t="str">
        <f>'Cloud Services'!D13</f>
        <v>Weder Zustimmung noch Ablehnung (Neutral)</v>
      </c>
      <c r="F38" s="166">
        <f t="shared" si="10"/>
        <v>0</v>
      </c>
      <c r="G38" s="168">
        <f t="shared" si="11"/>
        <v>0</v>
      </c>
      <c r="I38" s="223" t="str">
        <f>'Microsoft Online Services'!A16</f>
        <v>Azure Active Directory</v>
      </c>
      <c r="J38" s="223" t="str">
        <f>'Microsoft Online Services'!B16</f>
        <v>Ja</v>
      </c>
      <c r="K38" s="8">
        <f t="shared" si="8"/>
        <v>1</v>
      </c>
      <c r="L38" s="321">
        <f>'Microsoft Online Services'!C16</f>
        <v>1</v>
      </c>
      <c r="M38" s="224">
        <f>IF($K$42=0,0,(K38/$K$43))*L38</f>
        <v>7.6923076923076927E-2</v>
      </c>
    </row>
    <row r="39" spans="1:13" x14ac:dyDescent="0.45">
      <c r="A39" s="166" t="s">
        <v>30</v>
      </c>
      <c r="B39" s="211">
        <v>38</v>
      </c>
      <c r="C39" s="217">
        <f>'Cloud Services'!C14</f>
        <v>0</v>
      </c>
      <c r="D39" s="167">
        <f>'Cloud Services'!B14</f>
        <v>0</v>
      </c>
      <c r="E39" s="167" t="str">
        <f>'Cloud Services'!D14</f>
        <v>Ja</v>
      </c>
      <c r="F39" s="166">
        <f t="shared" si="1"/>
        <v>5</v>
      </c>
      <c r="G39" s="168">
        <f t="shared" si="11"/>
        <v>0</v>
      </c>
      <c r="I39" s="223" t="str">
        <f>'Microsoft Online Services'!A17</f>
        <v>Security &amp; Compliance</v>
      </c>
      <c r="J39" s="223" t="str">
        <f>'Microsoft Online Services'!B17</f>
        <v>Nein</v>
      </c>
      <c r="K39" s="8">
        <f t="shared" si="8"/>
        <v>0</v>
      </c>
      <c r="L39" s="321">
        <f>'Microsoft Online Services'!C17</f>
        <v>0</v>
      </c>
      <c r="M39" s="224">
        <f>IF($K$42=0,0,(K39/$K$43))*L39</f>
        <v>0</v>
      </c>
    </row>
    <row r="40" spans="1:13" x14ac:dyDescent="0.45">
      <c r="A40" s="166" t="s">
        <v>30</v>
      </c>
      <c r="B40" s="211">
        <v>39</v>
      </c>
      <c r="C40" s="217">
        <f>'Cloud Services'!C15</f>
        <v>0</v>
      </c>
      <c r="D40" s="167">
        <f>'Cloud Services'!B15</f>
        <v>0</v>
      </c>
      <c r="E40" s="167" t="str">
        <f>'Cloud Services'!D15</f>
        <v>Ja</v>
      </c>
      <c r="F40" s="166">
        <f t="shared" si="1"/>
        <v>5</v>
      </c>
      <c r="G40" s="168">
        <f t="shared" si="11"/>
        <v>0</v>
      </c>
      <c r="I40" s="223" t="str">
        <f>'Microsoft Online Services'!A18</f>
        <v>Virtual machines</v>
      </c>
      <c r="J40" s="223" t="str">
        <f>'Microsoft Online Services'!B18</f>
        <v>Nein</v>
      </c>
      <c r="K40" s="8">
        <f t="shared" si="8"/>
        <v>0</v>
      </c>
      <c r="L40" s="321">
        <f>'Microsoft Online Services'!C18</f>
        <v>0</v>
      </c>
      <c r="M40" s="224">
        <f>IF($K$42=0,0,(K40/$K$43))*L40</f>
        <v>0</v>
      </c>
    </row>
    <row r="41" spans="1:13" x14ac:dyDescent="0.45">
      <c r="A41" s="166" t="s">
        <v>31</v>
      </c>
      <c r="B41" s="211">
        <v>40</v>
      </c>
      <c r="C41" s="217" t="str">
        <f>'IT Service Management'!C5</f>
        <v>Im Unternehmen ist ein IT-Servicemanagement nach ITIL Vorgaben bzw. nach Vorgaben der ISO/IEC 20000 implementiert.</v>
      </c>
      <c r="D41" s="167">
        <f>'IT Service Management'!B5</f>
        <v>0.14285714285714285</v>
      </c>
      <c r="E41" s="167" t="str">
        <f>'IT Service Management'!D5</f>
        <v>Ja</v>
      </c>
      <c r="F41" s="166">
        <f t="shared" si="1"/>
        <v>5</v>
      </c>
      <c r="G41" s="168">
        <f t="shared" si="9"/>
        <v>0.14285714285714285</v>
      </c>
      <c r="I41" s="223" t="str">
        <f>'Microsoft Online Services'!A19</f>
        <v>App Services</v>
      </c>
      <c r="J41" s="223" t="str">
        <f>'Microsoft Online Services'!B19</f>
        <v>Nein</v>
      </c>
      <c r="K41" s="8">
        <f t="shared" si="8"/>
        <v>0</v>
      </c>
      <c r="L41" s="321">
        <f>'Microsoft Online Services'!C19</f>
        <v>0</v>
      </c>
      <c r="M41" s="224">
        <f>IF($K$42=0,0,(K41/$K$43))*L41</f>
        <v>0</v>
      </c>
    </row>
    <row r="42" spans="1:13" x14ac:dyDescent="0.45">
      <c r="A42" s="166" t="s">
        <v>31</v>
      </c>
      <c r="B42" s="211">
        <v>41</v>
      </c>
      <c r="C42" s="217" t="str">
        <f>'IT Service Management'!C6</f>
        <v>Jedes IT-System und jeder IT-Service (einschließlich Cloud Services) durchläuft vor der Produktivsetzung einen umfangreichen Test- und Freigabeprozess, z.B. 
- Funktionsprüfung,
- Verfügbarkeitsprüfung,
- Kompatibilitätsprüfung,
- Sicherheitsprüfung (Schutzbedarffeststellung),
- Prüfung auf Barrierefreiheit.</v>
      </c>
      <c r="D42" s="167">
        <f>'IT Service Management'!B6</f>
        <v>0.14285714285714285</v>
      </c>
      <c r="E42" s="167" t="str">
        <f>'IT Service Management'!D6</f>
        <v>Weder Zustimmung noch Ablehnung (Neutral)</v>
      </c>
      <c r="F42" s="166">
        <f t="shared" ref="F42" si="13">IF(E42="Stimme voll zu",5,(IF(E42="Stimme zu",4,(IF(E42="Weder Zustimmung noch Ablehnung",3,(IF(E42="Stimme nicht zu",2,(IF(E42="Stimme überhaupt nicht zu",1,0)))))))))</f>
        <v>0</v>
      </c>
      <c r="G42" s="168">
        <f t="shared" si="9"/>
        <v>0</v>
      </c>
      <c r="K42" s="225">
        <f>SUM(K28:K41)</f>
        <v>8</v>
      </c>
      <c r="M42" s="226">
        <f>SUM(M28:M41)</f>
        <v>0.43461538461538468</v>
      </c>
    </row>
    <row r="43" spans="1:13" x14ac:dyDescent="0.45">
      <c r="A43" s="166" t="s">
        <v>31</v>
      </c>
      <c r="B43" s="211">
        <v>42</v>
      </c>
      <c r="C43" s="217" t="str">
        <f>'IT Service Management'!C7</f>
        <v>Kein IT-System und kein IT-Service (einschließlich Cloud Services) wird ohne entsprechende IT-Dokumentation in die IT-Infrastruktur des Unternehmens integriert, modifiziert, ersetzt oder ausgemustert.</v>
      </c>
      <c r="D43" s="167">
        <f>'IT Service Management'!B7</f>
        <v>0.14285714285714285</v>
      </c>
      <c r="E43" s="167" t="str">
        <f>'IT Service Management'!D7</f>
        <v>Nein</v>
      </c>
      <c r="F43" s="166">
        <f t="shared" si="1"/>
        <v>1</v>
      </c>
      <c r="G43" s="168">
        <f t="shared" si="9"/>
        <v>2.8571428571428571E-2</v>
      </c>
      <c r="J43" s="225" t="s">
        <v>118</v>
      </c>
      <c r="K43" s="225">
        <v>13</v>
      </c>
    </row>
    <row r="44" spans="1:13" x14ac:dyDescent="0.45">
      <c r="A44" s="166" t="s">
        <v>31</v>
      </c>
      <c r="B44" s="211">
        <v>43</v>
      </c>
      <c r="C44" s="217" t="str">
        <f>'IT Service Management'!C8</f>
        <v>Es existiert eine Configuration Management Database (CMDB), in der die Konfiguration und der Status aller IT-Systeme dokumentiert ist.</v>
      </c>
      <c r="D44" s="167">
        <f>'IT Service Management'!B8</f>
        <v>0.14285714285714285</v>
      </c>
      <c r="E44" s="167" t="str">
        <f>'IT Service Management'!D8</f>
        <v>Nein</v>
      </c>
      <c r="F44" s="166">
        <f t="shared" si="1"/>
        <v>1</v>
      </c>
      <c r="G44" s="168">
        <f t="shared" si="9"/>
        <v>2.8571428571428571E-2</v>
      </c>
    </row>
    <row r="45" spans="1:13" x14ac:dyDescent="0.45">
      <c r="A45" s="166" t="s">
        <v>31</v>
      </c>
      <c r="B45" s="211">
        <v>44</v>
      </c>
      <c r="C45" s="217" t="str">
        <f>'IT Service Management'!C9</f>
        <v>Alle IT-Systeme werden mit geeigneten Tools, z.B. Microsoft SCCM, überwacht, um alle Konfigurationsparameter im Laufe ihrer Verwendung aktuell zu halten. Die für die Überwachung der IT-Systeme eingesetzten Tools liefern im Wesentlichen die Datenbasis für die CMDB.</v>
      </c>
      <c r="D45" s="167">
        <f>'IT Service Management'!B9</f>
        <v>0.14285714285714285</v>
      </c>
      <c r="E45" s="167" t="str">
        <f>'IT Service Management'!D9</f>
        <v>Weder Zustimmung noch Ablehnung (Neutral)</v>
      </c>
      <c r="F45" s="166">
        <f t="shared" ref="F45:F50" si="14">IF(E45="Stimme voll zu",5,(IF(E45="Stimme zu",4,(IF(E45="Weder Zustimmung noch Ablehnung",3,(IF(E45="Stimme nicht zu",2,(IF(E45="Stimme überhaupt nicht zu",1,0)))))))))</f>
        <v>0</v>
      </c>
      <c r="G45" s="168">
        <f t="shared" si="9"/>
        <v>0</v>
      </c>
    </row>
    <row r="46" spans="1:13" x14ac:dyDescent="0.45">
      <c r="A46" s="166" t="s">
        <v>31</v>
      </c>
      <c r="B46" s="211">
        <v>45</v>
      </c>
      <c r="C46" s="217" t="str">
        <f>'IT Service Management'!C10</f>
        <v xml:space="preserve">Als Bestandteil einer jährlichen Überprüfung wird die Existenz von IT-Systemen und die Korrektheit der Aufzeichnungen in der CMDB verifiziert. </v>
      </c>
      <c r="D46" s="167">
        <f>'IT Service Management'!B10</f>
        <v>0</v>
      </c>
      <c r="E46" s="167" t="str">
        <f>'IT Service Management'!D10</f>
        <v>Weder Zustimmung noch Ablehnung (Neutral)</v>
      </c>
      <c r="F46" s="166">
        <f t="shared" si="14"/>
        <v>0</v>
      </c>
      <c r="G46" s="168">
        <f t="shared" si="9"/>
        <v>0</v>
      </c>
    </row>
    <row r="47" spans="1:13" x14ac:dyDescent="0.45">
      <c r="A47" s="166" t="s">
        <v>31</v>
      </c>
      <c r="B47" s="211">
        <v>46</v>
      </c>
      <c r="C47" s="217" t="str">
        <f>'IT Service Management'!C11</f>
        <v>Anhand der vereinbarten Zielgrößen für den IT-Betrieb werden Service Level für IT-Systemen und IT- Services (einschließlich Cloud Services) abgeleitet.</v>
      </c>
      <c r="D47" s="167">
        <f>'IT Service Management'!B11</f>
        <v>0.14285714285714285</v>
      </c>
      <c r="E47" s="167" t="str">
        <f>'IT Service Management'!D11</f>
        <v>Weder Zustimmung noch Ablehnung (Neutral)</v>
      </c>
      <c r="F47" s="166">
        <f t="shared" si="14"/>
        <v>0</v>
      </c>
      <c r="G47" s="168">
        <f t="shared" si="9"/>
        <v>0</v>
      </c>
    </row>
    <row r="48" spans="1:13" x14ac:dyDescent="0.45">
      <c r="A48" s="166" t="s">
        <v>31</v>
      </c>
      <c r="B48" s="211">
        <v>47</v>
      </c>
      <c r="C48" s="217" t="str">
        <f>'IT Service Management'!C12</f>
        <v>Die Einhaltung der Service Level wird pro IT-System und IT-Service (einschließlich Cloud Services) kontinuierlich überwacht und bewertet.</v>
      </c>
      <c r="D48" s="167">
        <f>'IT Service Management'!B12</f>
        <v>0</v>
      </c>
      <c r="E48" s="167" t="str">
        <f>'IT Service Management'!D12</f>
        <v>Weder Zustimmung noch Ablehnung (Neutral)</v>
      </c>
      <c r="F48" s="166">
        <f t="shared" si="14"/>
        <v>0</v>
      </c>
      <c r="G48" s="168">
        <f t="shared" si="9"/>
        <v>0</v>
      </c>
    </row>
    <row r="49" spans="1:7" x14ac:dyDescent="0.45">
      <c r="A49" s="166" t="s">
        <v>31</v>
      </c>
      <c r="B49" s="211">
        <v>48</v>
      </c>
      <c r="C49" s="217" t="str">
        <f>'IT Service Management'!C13</f>
        <v>Es existiert ein Release und Deployment Plan, der geplante Änderungen (Major Changes), z.B. Roll-Outs, Systemmigrationen und Updates innerhalb der nächsten 6 Monate im Detail erfasst sowie für weitere 6 Monate skizziert. Für Updates gibt es ein mit dem jeweiligen Prozesseigner abgestimmtes Updatezeitfenster.</v>
      </c>
      <c r="D49" s="167">
        <f>'IT Service Management'!B13</f>
        <v>0.14285714285714285</v>
      </c>
      <c r="E49" s="167" t="str">
        <f>'IT Service Management'!D13</f>
        <v>Weder Zustimmung noch Ablehnung (Neutral)</v>
      </c>
      <c r="F49" s="166">
        <f t="shared" si="14"/>
        <v>0</v>
      </c>
      <c r="G49" s="168">
        <f t="shared" si="9"/>
        <v>0</v>
      </c>
    </row>
    <row r="50" spans="1:7" x14ac:dyDescent="0.45">
      <c r="A50" s="166" t="s">
        <v>31</v>
      </c>
      <c r="B50" s="211">
        <v>49</v>
      </c>
      <c r="C50" s="217" t="str">
        <f>'IT Service Management'!C14</f>
        <v>Der Release und Deployment Plan wird mindestens zweimal pro Jahr überprüft. Die Überprüfung beinhaltet u.a.
- den Abgleich der geplanten Maßnahmen mit der IT-Strategie (Cloud Strategie) und Änderungsanforderungen (Change Requests), 
- die Analyse und Bewertung von Abhängigkeiten zwischen den geplanten Maßnahmen,
- die Kontrolle der Ziele, Rollen und Verantwortlichkeiten für die geplanten Maßnahmen sowie damit verbundener Aktivitäten und Vorgehensweisen.</v>
      </c>
      <c r="D50" s="167">
        <f>'IT Service Management'!B14</f>
        <v>0</v>
      </c>
      <c r="E50" s="167" t="str">
        <f>'IT Service Management'!D14</f>
        <v>Weder Zustimmung noch Ablehnung (Neutral)</v>
      </c>
      <c r="F50" s="166">
        <f t="shared" si="14"/>
        <v>0</v>
      </c>
      <c r="G50" s="168">
        <f t="shared" si="9"/>
        <v>0</v>
      </c>
    </row>
    <row r="51" spans="1:7" x14ac:dyDescent="0.45">
      <c r="A51" s="166" t="s">
        <v>31</v>
      </c>
      <c r="B51" s="211">
        <v>50</v>
      </c>
      <c r="C51" s="217">
        <f>'IT Service Management'!C15</f>
        <v>0</v>
      </c>
      <c r="D51" s="167">
        <f>'IT Service Management'!B15</f>
        <v>0</v>
      </c>
      <c r="E51" s="167" t="str">
        <f>'IT Service Management'!D15</f>
        <v>Ja</v>
      </c>
      <c r="F51" s="166">
        <f t="shared" si="1"/>
        <v>5</v>
      </c>
      <c r="G51" s="168">
        <f>(F51/5)*D51</f>
        <v>0</v>
      </c>
    </row>
    <row r="52" spans="1:7" x14ac:dyDescent="0.45">
      <c r="A52" s="166" t="s">
        <v>31</v>
      </c>
      <c r="B52" s="211">
        <v>51</v>
      </c>
      <c r="C52" s="217">
        <f>'IT Service Management'!C16</f>
        <v>0</v>
      </c>
      <c r="D52" s="167">
        <f>'IT Service Management'!B16</f>
        <v>0</v>
      </c>
      <c r="E52" s="167" t="str">
        <f>'IT Service Management'!D16</f>
        <v>Ja</v>
      </c>
      <c r="F52" s="166">
        <f t="shared" si="1"/>
        <v>5</v>
      </c>
      <c r="G52" s="168">
        <f>(F52/5)*D52</f>
        <v>0</v>
      </c>
    </row>
    <row r="53" spans="1:7" x14ac:dyDescent="0.45">
      <c r="A53" s="166" t="s">
        <v>47</v>
      </c>
      <c r="B53" s="211">
        <v>52</v>
      </c>
      <c r="C53" s="217" t="str">
        <f>'IT Asset Management'!C5</f>
        <v xml:space="preserve">IT-(Software) Asset Management wird vom Management als unternehmensweite Aufgabe verstanden und in der Umsetzung uneingeschränkt unterstützt. </v>
      </c>
      <c r="D53" s="167">
        <f>'IT Asset Management'!B5</f>
        <v>0.1</v>
      </c>
      <c r="E53" s="167" t="str">
        <f>'IT Asset Management'!D5</f>
        <v>Stimme voll zu</v>
      </c>
      <c r="F53" s="166">
        <f t="shared" ref="F53:F57" si="15">IF(E53="Stimme voll zu",5,(IF(E53="Stimme zu",4,(IF(E53="Weder Zustimmung noch Ablehnung",3,(IF(E53="Stimme nicht zu",2,(IF(E53="Stimme überhaupt nicht zu",1,0)))))))))</f>
        <v>5</v>
      </c>
      <c r="G53" s="168">
        <f t="shared" ref="G53:G64" si="16">(F53/5)*D53</f>
        <v>0.1</v>
      </c>
    </row>
    <row r="54" spans="1:7" x14ac:dyDescent="0.45">
      <c r="A54" s="166" t="s">
        <v>47</v>
      </c>
      <c r="B54" s="211">
        <v>53</v>
      </c>
      <c r="C54" s="217" t="str">
        <f>'IT Asset Management'!C6</f>
        <v>Das IT-Asset-Management wird unternehmensweit einheitlich umgesetzt, d.h. standardisierte 
- Prozesse und Aufgaben,
- Rollen und Verantwortlichkeiten,
- Tools und Templates.</v>
      </c>
      <c r="D54" s="167">
        <f>'IT Asset Management'!B6</f>
        <v>0.1</v>
      </c>
      <c r="E54" s="167" t="str">
        <f>'IT Asset Management'!D6</f>
        <v>Stimme voll zu</v>
      </c>
      <c r="F54" s="166">
        <f t="shared" si="15"/>
        <v>5</v>
      </c>
      <c r="G54" s="168">
        <f t="shared" si="16"/>
        <v>0.1</v>
      </c>
    </row>
    <row r="55" spans="1:7" x14ac:dyDescent="0.45">
      <c r="A55" s="166" t="s">
        <v>47</v>
      </c>
      <c r="B55" s="211">
        <v>54</v>
      </c>
      <c r="C55" s="217" t="str">
        <f>'IT Asset Management'!C7</f>
        <v>Die Prozesse im IT-Asset-Management Prozesse unterstützen den gesamten Lebenszyklus von IT- Systemen und IT-Services (einschließlich Cloud Services), d.h.
- Bedarfsplanung (Demand),
- Beschaffung (Procure),
- Einsatz (Deploy),
- Wartung (Maintain),
- Ausmusterung (Retire).</v>
      </c>
      <c r="D55" s="167">
        <f>'IT Asset Management'!B7</f>
        <v>0.1</v>
      </c>
      <c r="E55" s="167" t="str">
        <f>'IT Asset Management'!D7</f>
        <v>Stimme voll zu</v>
      </c>
      <c r="F55" s="166">
        <f t="shared" si="15"/>
        <v>5</v>
      </c>
      <c r="G55" s="168">
        <f t="shared" si="16"/>
        <v>0.1</v>
      </c>
    </row>
    <row r="56" spans="1:7" x14ac:dyDescent="0.45">
      <c r="A56" s="166" t="s">
        <v>47</v>
      </c>
      <c r="B56" s="211">
        <v>55</v>
      </c>
      <c r="C56" s="217" t="str">
        <f>'IT Asset Management'!C8</f>
        <v>Das IT-Asset-Management ist zentral organisiert und bedient sich im Bedarfsfall dezentraler Rollen bei der Umsetzung der Prozesse.</v>
      </c>
      <c r="D56" s="167">
        <f>'IT Asset Management'!B8</f>
        <v>0.1</v>
      </c>
      <c r="E56" s="167" t="str">
        <f>'IT Asset Management'!D8</f>
        <v>Stimme voll zu</v>
      </c>
      <c r="F56" s="166">
        <f t="shared" si="15"/>
        <v>5</v>
      </c>
      <c r="G56" s="168">
        <f t="shared" si="16"/>
        <v>0.1</v>
      </c>
    </row>
    <row r="57" spans="1:7" x14ac:dyDescent="0.45">
      <c r="A57" s="166" t="s">
        <v>47</v>
      </c>
      <c r="B57" s="211">
        <v>56</v>
      </c>
      <c r="C57" s="217" t="str">
        <f>'IT Asset Management'!C9</f>
        <v>Mit dem Einsatz spezialisierter Tools sind wesentliche Voraussetzungen für ein effektives und effizientes IT-Asset-Management gegeben, z.B. 
- Tools zur Erkennung und Inventarisierung der im Unternehmen eingesetzten IT-Systeme,
- Tools zur Identifizierung von Usern und Userberechtigungen,
- Tools zur Nutzungsvermessung von IT-Systemen und IT-Services (einschließlich Cloud Services),
- Tools zur Verwaltung und Analyse von Hard- und Software Assets (CMDB),
- Tools zur Verwaltung und Analyse von Vertrags- und Lizenzinformationen,
- Tools zur Compliance Analyse.</v>
      </c>
      <c r="D57" s="167">
        <f>'IT Asset Management'!B9</f>
        <v>0.1</v>
      </c>
      <c r="E57" s="167" t="str">
        <f>'IT Asset Management'!D9</f>
        <v>Stimme zu</v>
      </c>
      <c r="F57" s="166">
        <f t="shared" si="15"/>
        <v>4</v>
      </c>
      <c r="G57" s="168">
        <f t="shared" si="16"/>
        <v>8.0000000000000016E-2</v>
      </c>
    </row>
    <row r="58" spans="1:7" x14ac:dyDescent="0.45">
      <c r="A58" s="166" t="s">
        <v>47</v>
      </c>
      <c r="B58" s="211">
        <v>57</v>
      </c>
      <c r="C58" s="217" t="str">
        <f>'IT Asset Management'!C10</f>
        <v>Die toolbasierte Erkennung und Inventarisierung von Hardware und Software liegt bei mind. 90% aller im Unternehmen eingesetzten IT-Systeme, d.h.
- PCs und Notebooks
- Thin Clients,
- Mobile Devices,
- Server,
- Netzwerkkomponenten.
Die toolbasierte Analyse von Userdaten liegt ebenfalls bei mind. 90%.</v>
      </c>
      <c r="D58" s="167">
        <f>'IT Asset Management'!B10</f>
        <v>0.1</v>
      </c>
      <c r="E58" s="167" t="str">
        <f>'IT Asset Management'!D10</f>
        <v>Ja</v>
      </c>
      <c r="F58" s="166">
        <f t="shared" si="1"/>
        <v>5</v>
      </c>
      <c r="G58" s="168">
        <f t="shared" si="16"/>
        <v>0.1</v>
      </c>
    </row>
    <row r="59" spans="1:7" x14ac:dyDescent="0.45">
      <c r="A59" s="166" t="s">
        <v>47</v>
      </c>
      <c r="B59" s="211">
        <v>58</v>
      </c>
      <c r="C59" s="217" t="str">
        <f>'IT Asset Management'!C11</f>
        <v>Neben anderen Daten werden von Hardware Assets (physische und virtuelle Betriebssystemumgebungen) mind. folgende Informationen erfasst:
- Hersteller,
- Produktbezeichner,
- Betriebszustand (physisch / virtuell)
- CPU-Typ,
- Anzahl CPUs / Cores.</v>
      </c>
      <c r="D59" s="167">
        <f>'IT Asset Management'!B11</f>
        <v>0.1</v>
      </c>
      <c r="E59" s="167" t="str">
        <f>'IT Asset Management'!D11</f>
        <v>Stimme voll zu</v>
      </c>
      <c r="F59" s="166">
        <f t="shared" ref="F59:F60" si="17">IF(E59="Stimme voll zu",5,(IF(E59="Stimme zu",4,(IF(E59="Weder Zustimmung noch Ablehnung",3,(IF(E59="Stimme nicht zu",2,(IF(E59="Stimme überhaupt nicht zu",1,0)))))))))</f>
        <v>5</v>
      </c>
      <c r="G59" s="168">
        <f t="shared" si="16"/>
        <v>0.1</v>
      </c>
    </row>
    <row r="60" spans="1:7" x14ac:dyDescent="0.45">
      <c r="A60" s="166" t="s">
        <v>47</v>
      </c>
      <c r="B60" s="211">
        <v>59</v>
      </c>
      <c r="C60" s="217" t="str">
        <f>'IT Asset Management'!C12</f>
        <v>Neben anderen Daten werden von Software-Assets mind. folgende Informationen erfasst:
- Hersteller,
- Produktbezeichner,
- Version / Release,
- Bezug zu physischer / virtueller Betriebssystemumgebung).</v>
      </c>
      <c r="D60" s="167">
        <f>'IT Asset Management'!B12</f>
        <v>0.1</v>
      </c>
      <c r="E60" s="167" t="str">
        <f>'IT Asset Management'!D12</f>
        <v>Stimme zu</v>
      </c>
      <c r="F60" s="166">
        <f t="shared" si="17"/>
        <v>4</v>
      </c>
      <c r="G60" s="168">
        <f t="shared" si="16"/>
        <v>8.0000000000000016E-2</v>
      </c>
    </row>
    <row r="61" spans="1:7" x14ac:dyDescent="0.45">
      <c r="A61" s="166" t="s">
        <v>47</v>
      </c>
      <c r="B61" s="211">
        <v>60</v>
      </c>
      <c r="C61" s="217" t="str">
        <f>'IT Asset Management'!C13</f>
        <v xml:space="preserve">Die mit Hilfe der Tools aufgenommenen und verwalteten Asset und User Daten werden über definierte Intervalle automatisch aktualisiert. </v>
      </c>
      <c r="D61" s="167">
        <f>'IT Asset Management'!B13</f>
        <v>0.1</v>
      </c>
      <c r="E61" s="167" t="str">
        <f>'IT Asset Management'!D13</f>
        <v>Ja</v>
      </c>
      <c r="F61" s="166">
        <f t="shared" si="1"/>
        <v>5</v>
      </c>
      <c r="G61" s="168">
        <f t="shared" si="16"/>
        <v>0.1</v>
      </c>
    </row>
    <row r="62" spans="1:7" x14ac:dyDescent="0.45">
      <c r="A62" s="166" t="s">
        <v>47</v>
      </c>
      <c r="B62" s="211">
        <v>61</v>
      </c>
      <c r="C62" s="217" t="str">
        <f>'IT Asset Management'!C14</f>
        <v>Die Vollständigkeit und Richtigkeit der Asset und User Daten wird regelmäßig, mindestens jedoch jährlich überprüft, u.a. durch
- eine stichprobenweise manuelle Inventur von Hardware und Software Assets,
- einen Abgleich verschiedener Systemen für die Userverwaltung, z.B. Active Directory.</v>
      </c>
      <c r="D62" s="167">
        <f>'IT Asset Management'!B14</f>
        <v>0.1</v>
      </c>
      <c r="E62" s="167" t="str">
        <f>'IT Asset Management'!D14</f>
        <v>Ja</v>
      </c>
      <c r="F62" s="166">
        <f t="shared" si="1"/>
        <v>5</v>
      </c>
      <c r="G62" s="168">
        <f t="shared" si="16"/>
        <v>0.1</v>
      </c>
    </row>
    <row r="63" spans="1:7" x14ac:dyDescent="0.45">
      <c r="A63" s="166" t="s">
        <v>47</v>
      </c>
      <c r="B63" s="211">
        <v>62</v>
      </c>
      <c r="C63" s="217">
        <f>'IT Asset Management'!C15</f>
        <v>0</v>
      </c>
      <c r="D63" s="167">
        <f>'IT Asset Management'!B15</f>
        <v>0</v>
      </c>
      <c r="E63" s="167" t="str">
        <f>'IT Asset Management'!D15</f>
        <v>Ja</v>
      </c>
      <c r="F63" s="166">
        <f t="shared" si="1"/>
        <v>5</v>
      </c>
      <c r="G63" s="168">
        <f t="shared" si="16"/>
        <v>0</v>
      </c>
    </row>
    <row r="64" spans="1:7" x14ac:dyDescent="0.45">
      <c r="A64" s="166" t="s">
        <v>47</v>
      </c>
      <c r="B64" s="211">
        <v>63</v>
      </c>
      <c r="C64" s="217">
        <f>'IT Asset Management'!C16</f>
        <v>0</v>
      </c>
      <c r="D64" s="167">
        <f>'IT Asset Management'!B16</f>
        <v>0</v>
      </c>
      <c r="E64" s="167" t="str">
        <f>'IT Asset Management'!D16</f>
        <v>Ja</v>
      </c>
      <c r="F64" s="166">
        <f t="shared" si="1"/>
        <v>5</v>
      </c>
      <c r="G64" s="168">
        <f t="shared" si="16"/>
        <v>0</v>
      </c>
    </row>
    <row r="65" spans="1:7" x14ac:dyDescent="0.45">
      <c r="A65" s="169" t="s">
        <v>46</v>
      </c>
      <c r="B65" s="212">
        <v>64</v>
      </c>
      <c r="C65" s="218" t="str">
        <f>'Cloud Technologien'!C5</f>
        <v>Die im Unternehmen eingesetzten Cloud Services werden analog zu den On Premise eingesetzten IT. Systemen und IT-Services in einer IT-Dokumentation beschrieben.</v>
      </c>
      <c r="D65" s="170">
        <f>'Cloud Technologien'!B5</f>
        <v>0.14285714285714285</v>
      </c>
      <c r="E65" s="170" t="str">
        <f>'Cloud Technologien'!D5</f>
        <v>Ja</v>
      </c>
      <c r="F65" s="169">
        <f t="shared" si="1"/>
        <v>5</v>
      </c>
      <c r="G65" s="171">
        <f t="shared" ref="G65:G84" si="18">(F65/5)*D65</f>
        <v>0.14285714285714285</v>
      </c>
    </row>
    <row r="66" spans="1:7" x14ac:dyDescent="0.45">
      <c r="A66" s="169" t="s">
        <v>46</v>
      </c>
      <c r="B66" s="212">
        <v>65</v>
      </c>
      <c r="C66" s="218" t="str">
        <f>'Cloud Technologien'!C6</f>
        <v>Die IT-Dokumentation beinhaltet u.a. 
- eine Übersicht der mit Cloud Services unterstützten geschäftskritischen Prozesse und verbundene IT- Systeme,
- Angaben zu technischen Mindestanforderungen für die Nutzung von Cloud Services, z.B. erforderliche Software mit Versionsständen, Netzwerkanbindung,
- Service Level,
- Vorgaben für die Business Continuity, das Backup, die Wiederherstellung und ein eventuell erforderliches Roll-Back (Rückabwicklung des Roll-Outs von Cloud Services).</v>
      </c>
      <c r="D66" s="170">
        <f>'Cloud Technologien'!B6</f>
        <v>0.14285714285714285</v>
      </c>
      <c r="E66" s="170" t="str">
        <f>'Cloud Technologien'!D6</f>
        <v>Weder Zustimmung noch Ablehnung (Neutral)</v>
      </c>
      <c r="F66" s="169">
        <f t="shared" ref="F66:F70" si="19">IF(E66="Stimme voll zu",5,(IF(E66="Stimme zu",4,(IF(E66="Weder Zustimmung noch Ablehnung",3,(IF(E66="Stimme nicht zu",2,(IF(E66="Stimme überhaupt nicht zu",1,0)))))))))</f>
        <v>0</v>
      </c>
      <c r="G66" s="171">
        <f t="shared" ref="G66:G73" si="20">(F66/5)*D66</f>
        <v>0</v>
      </c>
    </row>
    <row r="67" spans="1:7" x14ac:dyDescent="0.45">
      <c r="A67" s="169" t="s">
        <v>46</v>
      </c>
      <c r="B67" s="212">
        <v>66</v>
      </c>
      <c r="C67" s="218" t="str">
        <f>'Cloud Technologien'!C7</f>
        <v>Für jeden Cloud Service sind folgende Service Level definiert:
- Verfügbarkeit, 
- Verarbeitungsgeschwindigkeit,
- Datenübertragungsraten, 
- Latenzen,
- maximal tolerierbare Ausfallzeit,
- maximal tolerierbare Wiederherstellzeit.</v>
      </c>
      <c r="D67" s="170">
        <f>'Cloud Technologien'!B7</f>
        <v>0.14285714285714285</v>
      </c>
      <c r="E67" s="170" t="str">
        <f>'Cloud Technologien'!D7</f>
        <v>Stimme zu</v>
      </c>
      <c r="F67" s="169">
        <f t="shared" si="19"/>
        <v>4</v>
      </c>
      <c r="G67" s="171">
        <f t="shared" si="20"/>
        <v>0.11428571428571428</v>
      </c>
    </row>
    <row r="68" spans="1:7" x14ac:dyDescent="0.45">
      <c r="A68" s="169" t="s">
        <v>46</v>
      </c>
      <c r="B68" s="212">
        <v>67</v>
      </c>
      <c r="C68" s="218" t="str">
        <f>'Cloud Technologien'!C8</f>
        <v>Die Service Level wurden aus einer Performance Baseline für die On Premise IT-Systeme und IT- Services abgeleitet und für verschiedene Anwendungsszenarien von Cloud Services definiert, z.B.
- Nutzung über Client-Endgeräte im Unternehmensnetzwerk,
- Nutzung über Client-Endgeräte mit Netzwerkanbindung an Heimarbeitsplätzen,
- Nutzung über mobile Endgeräte über Funknetzwerke.</v>
      </c>
      <c r="D68" s="170">
        <f>'Cloud Technologien'!B8</f>
        <v>0.14285714285714285</v>
      </c>
      <c r="E68" s="170" t="str">
        <f>'Cloud Technologien'!D8</f>
        <v>Weder Zustimmung noch Ablehnung (Neutral)</v>
      </c>
      <c r="F68" s="169">
        <f t="shared" si="19"/>
        <v>0</v>
      </c>
      <c r="G68" s="171">
        <f t="shared" si="20"/>
        <v>0</v>
      </c>
    </row>
    <row r="69" spans="1:7" x14ac:dyDescent="0.45">
      <c r="A69" s="169" t="s">
        <v>46</v>
      </c>
      <c r="B69" s="212">
        <v>68</v>
      </c>
      <c r="C69" s="218" t="str">
        <f>'Cloud Technologien'!C9</f>
        <v>Die Einhaltung der Service Level wird über geeignete Kontrollverfahren und Tools nachgehalten.</v>
      </c>
      <c r="D69" s="170">
        <f>'Cloud Technologien'!B9</f>
        <v>0.14285714285714285</v>
      </c>
      <c r="E69" s="170" t="str">
        <f>'Cloud Technologien'!D9</f>
        <v>Stimme nicht zu</v>
      </c>
      <c r="F69" s="169">
        <f t="shared" si="19"/>
        <v>2</v>
      </c>
      <c r="G69" s="171">
        <f t="shared" si="20"/>
        <v>5.7142857142857141E-2</v>
      </c>
    </row>
    <row r="70" spans="1:7" x14ac:dyDescent="0.45">
      <c r="A70" s="169" t="s">
        <v>46</v>
      </c>
      <c r="B70" s="212">
        <v>69</v>
      </c>
      <c r="C70" s="218" t="str">
        <f>'Cloud Technologien'!C10</f>
        <v>Es wurden die notwendigen organisatorischen und technischen Voraussetzungen für die Verwendung von Cloud Services geschaffen, d.h. 
- das Systemmanagement ist in der Lage, On Premise IT-Services und Cloud Services zu koppeln und zu betrieben,
- die Netzwerkanbindung ist für alle Anwender und IT-Systeme mit Zugriff auf Cloud Services sichergestellt,
- die Netzwerkkapazitäten sind für die zu nutzenden Cloud Services ausreichend ausgelegt,
- das Active-Directory ist auf einem einheitlichen aktuellen Level,
- ein Single Sign On ist implementiert,
- die im Unternehmen genutzten IT-Systeme sind mehrheitlich virtualisiert und werden zentral gemanagt.</v>
      </c>
      <c r="D70" s="170">
        <f>'Cloud Technologien'!B10</f>
        <v>0.14285714285714285</v>
      </c>
      <c r="E70" s="170" t="str">
        <f>'Cloud Technologien'!D10</f>
        <v>Weder Zustimmung noch Ablehnung (Neutral)</v>
      </c>
      <c r="F70" s="169">
        <f t="shared" si="19"/>
        <v>0</v>
      </c>
      <c r="G70" s="171">
        <f t="shared" si="20"/>
        <v>0</v>
      </c>
    </row>
    <row r="71" spans="1:7" x14ac:dyDescent="0.45">
      <c r="A71" s="169" t="s">
        <v>46</v>
      </c>
      <c r="B71" s="212">
        <v>70</v>
      </c>
      <c r="C71" s="218" t="str">
        <f>'Cloud Technologien'!C11</f>
        <v>Die für die Nutzung von Cloud Services erforderlichen Freigaben liegen vor, d.h.
- Freigabe durch IT-Betrieb,
- Freigabe durch IT-Security,
- Freigabe durch Datenschutz,
- Freigabe durch Betriebsrat.</v>
      </c>
      <c r="D71" s="170">
        <f>'Cloud Technologien'!B11</f>
        <v>0.14285714285714285</v>
      </c>
      <c r="E71" s="170" t="str">
        <f>'Cloud Technologien'!D11</f>
        <v>Ja</v>
      </c>
      <c r="F71" s="169">
        <f t="shared" si="1"/>
        <v>5</v>
      </c>
      <c r="G71" s="171">
        <f t="shared" si="20"/>
        <v>0.14285714285714285</v>
      </c>
    </row>
    <row r="72" spans="1:7" x14ac:dyDescent="0.45">
      <c r="A72" s="169" t="s">
        <v>46</v>
      </c>
      <c r="B72" s="212">
        <v>71</v>
      </c>
      <c r="C72" s="218">
        <f>'Cloud Technologien'!C12</f>
        <v>0</v>
      </c>
      <c r="D72" s="170">
        <f>'Cloud Technologien'!B12</f>
        <v>0</v>
      </c>
      <c r="E72" s="170" t="str">
        <f>'Cloud Technologien'!D12</f>
        <v>Ja</v>
      </c>
      <c r="F72" s="169">
        <f t="shared" ref="F72:F138" si="21">IF(E72="Nein",1,5)</f>
        <v>5</v>
      </c>
      <c r="G72" s="171">
        <f t="shared" si="20"/>
        <v>0</v>
      </c>
    </row>
    <row r="73" spans="1:7" x14ac:dyDescent="0.45">
      <c r="A73" s="169" t="s">
        <v>46</v>
      </c>
      <c r="B73" s="212">
        <v>72</v>
      </c>
      <c r="C73" s="218">
        <f>'Cloud Technologien'!C13</f>
        <v>0</v>
      </c>
      <c r="D73" s="170">
        <f>'Cloud Technologien'!B13</f>
        <v>0</v>
      </c>
      <c r="E73" s="170" t="str">
        <f>'Cloud Technologien'!D13</f>
        <v>Ja</v>
      </c>
      <c r="F73" s="169">
        <f t="shared" si="21"/>
        <v>5</v>
      </c>
      <c r="G73" s="171">
        <f t="shared" si="20"/>
        <v>0</v>
      </c>
    </row>
    <row r="74" spans="1:7" x14ac:dyDescent="0.45">
      <c r="A74" s="169" t="s">
        <v>48</v>
      </c>
      <c r="B74" s="212">
        <v>73</v>
      </c>
      <c r="C74" s="218" t="str">
        <f>'IT Lifecycle'!C5</f>
        <v xml:space="preserve">Alle IT-Systeme, d.h. Client Endgeräte und Server, sind mind. in einer n-2 Betriebssystemversion, aktuell z.B. Windows 7 oder Windows Server 2012 (im Hersteller Support), mit allen erforderlichen Sicherheitsupdates ausgestattet. </v>
      </c>
      <c r="D74" s="170">
        <f>'IT Lifecycle'!B5</f>
        <v>0.125</v>
      </c>
      <c r="E74" s="170" t="str">
        <f>'IT Lifecycle'!D5</f>
        <v>Nein</v>
      </c>
      <c r="F74" s="169">
        <f t="shared" si="21"/>
        <v>1</v>
      </c>
      <c r="G74" s="171">
        <f t="shared" si="18"/>
        <v>2.5000000000000001E-2</v>
      </c>
    </row>
    <row r="75" spans="1:7" x14ac:dyDescent="0.45">
      <c r="A75" s="169" t="s">
        <v>48</v>
      </c>
      <c r="B75" s="212">
        <v>74</v>
      </c>
      <c r="C75" s="218" t="str">
        <f>'IT Lifecycle'!C6</f>
        <v>Die auf den IT-Systemen installierten Softwareprodukte sind mind. in einem n-2 Versionsstand, aktuell z.B. SQL Server 2012, Exchange Server 2010 (im Hersteller Support) mit allen erforderlichen Sicherheitsupdates installiert.</v>
      </c>
      <c r="D75" s="170">
        <f>'IT Lifecycle'!B6</f>
        <v>0.125</v>
      </c>
      <c r="E75" s="170" t="str">
        <f>'IT Lifecycle'!D6</f>
        <v>Nein</v>
      </c>
      <c r="F75" s="169">
        <f t="shared" si="21"/>
        <v>1</v>
      </c>
      <c r="G75" s="171">
        <f t="shared" ref="G75:G82" si="22">(F75/5)*D75</f>
        <v>2.5000000000000001E-2</v>
      </c>
    </row>
    <row r="76" spans="1:7" x14ac:dyDescent="0.45">
      <c r="A76" s="169" t="s">
        <v>48</v>
      </c>
      <c r="B76" s="212">
        <v>75</v>
      </c>
      <c r="C76" s="218" t="str">
        <f>'IT Lifecycle'!C7</f>
        <v>Eigenentwickelte Software oder Softwareprodukte von Drittherstellern, die in Cloud Services oder in On-Premise-Installationen von Cloud Service-Komponenten integriert sind oder mit diesen interagieren, sind bereits Cloud Service kompatibel, z.B. Office Makros wurden bereit auf Office Addins umgestellt.</v>
      </c>
      <c r="D76" s="170">
        <f>'IT Lifecycle'!B7</f>
        <v>0.125</v>
      </c>
      <c r="E76" s="170" t="str">
        <f>'IT Lifecycle'!D7</f>
        <v>Nein</v>
      </c>
      <c r="F76" s="169">
        <f t="shared" si="21"/>
        <v>1</v>
      </c>
      <c r="G76" s="171">
        <f t="shared" si="22"/>
        <v>2.5000000000000001E-2</v>
      </c>
    </row>
    <row r="77" spans="1:7" x14ac:dyDescent="0.45">
      <c r="A77" s="169" t="s">
        <v>48</v>
      </c>
      <c r="B77" s="212">
        <v>76</v>
      </c>
      <c r="C77" s="218" t="str">
        <f>'IT Lifecycle'!C8</f>
        <v>Das Unternehmen betreibt ein aktives Software Portfolio Management, um für alle im Einsatz befindlichen Softwareprodukte eine Road Map abzuleiten, 
- Vereinheitlichung der eingesetzten IT-Lösungen (ein Hersteller), z.B. Datenbanken, Virtualisierung,
- Standardisierung der eingesetzten Edition und Versionen eines Softwareprodukts, z.B. Office,
- Transformation und Vernetzung von IT-Services, z.B. Migration von Exchange und SharePoint zu Office 365.</v>
      </c>
      <c r="D77" s="170">
        <f>'IT Lifecycle'!B8</f>
        <v>0.125</v>
      </c>
      <c r="E77" s="170" t="str">
        <f>'IT Lifecycle'!D8</f>
        <v>Stimme zu</v>
      </c>
      <c r="F77" s="169">
        <f t="shared" ref="F77" si="23">IF(E77="Stimme voll zu",5,(IF(E77="Stimme zu",4,(IF(E77="Weder Zustimmung noch Ablehnung",3,(IF(E77="Stimme nicht zu",2,(IF(E77="Stimme überhaupt nicht zu",1,0)))))))))</f>
        <v>4</v>
      </c>
      <c r="G77" s="171">
        <f t="shared" si="22"/>
        <v>0.1</v>
      </c>
    </row>
    <row r="78" spans="1:7" x14ac:dyDescent="0.45">
      <c r="A78" s="169" t="s">
        <v>48</v>
      </c>
      <c r="B78" s="212">
        <v>77</v>
      </c>
      <c r="C78" s="218" t="str">
        <f>'IT Lifecycle'!C9</f>
        <v>Im Rahmen des IT-Lifecycle-Managements werden nicht mehr benötigte IT-Systeme abgebaut und nicht mehr erforderliche Software deinstalliert.</v>
      </c>
      <c r="D78" s="170">
        <f>'IT Lifecycle'!B9</f>
        <v>0.125</v>
      </c>
      <c r="E78" s="170" t="str">
        <f>'IT Lifecycle'!D9</f>
        <v>Ja</v>
      </c>
      <c r="F78" s="169">
        <f t="shared" si="21"/>
        <v>5</v>
      </c>
      <c r="G78" s="171">
        <f t="shared" si="22"/>
        <v>0.125</v>
      </c>
    </row>
    <row r="79" spans="1:7" x14ac:dyDescent="0.45">
      <c r="A79" s="169" t="s">
        <v>48</v>
      </c>
      <c r="B79" s="212">
        <v>78</v>
      </c>
      <c r="C79" s="218" t="str">
        <f>'IT Lifecycle'!C10</f>
        <v>Sofern ein IT-System ersetzt werden muss (end-of-life) oder ein technische Aktualisierung, z.B. Releasewechsel, erforderlich ist, werden bei der Festlegung des Zielbilds für das Nachfolgesystem nur Cloud Service kompatible Softwareprodukte in Betracht gezogen bzw. direkt eine Migration zu Cloud Services geplant.</v>
      </c>
      <c r="D79" s="170">
        <f>'IT Lifecycle'!B10</f>
        <v>0.125</v>
      </c>
      <c r="E79" s="170" t="str">
        <f>'IT Lifecycle'!D10</f>
        <v>Stimme zu</v>
      </c>
      <c r="F79" s="169">
        <f t="shared" ref="F79:F81" si="24">IF(E79="Stimme voll zu",5,(IF(E79="Stimme zu",4,(IF(E79="Weder Zustimmung noch Ablehnung",3,(IF(E79="Stimme nicht zu",2,(IF(E79="Stimme überhaupt nicht zu",1,0)))))))))</f>
        <v>4</v>
      </c>
      <c r="G79" s="171">
        <f t="shared" si="22"/>
        <v>0.1</v>
      </c>
    </row>
    <row r="80" spans="1:7" x14ac:dyDescent="0.45">
      <c r="A80" s="169" t="s">
        <v>48</v>
      </c>
      <c r="B80" s="212">
        <v>79</v>
      </c>
      <c r="C80" s="218" t="str">
        <f>'IT Lifecycle'!C11</f>
        <v>Die im IT-Service-Management und IT-Asset-Management eingesetzten Tools sind bereits Cloud Service kompatibel, d.h. die Tools unterstützen:
- eine zentrale Verwaltung von Cloud Umgebungen verschiedener Cloud Service-Anbieter (Multi-Cloud  Management),
- die Aktivierung und Konfiguration von Cloud Services,
- das (automatische) Verschieben von Workloads zwischen der On-Premise IT-Infrastruktur und der Cloud Umgebung,
- die Überwachung und Auswertung der Verwendung von Cloud Services (Consumption), 
- die Ermittlung der für die Nutzung von Cloud Services erforderlichen Lizenzen.</v>
      </c>
      <c r="D80" s="170">
        <f>'IT Lifecycle'!B11</f>
        <v>0.125</v>
      </c>
      <c r="E80" s="170" t="str">
        <f>'IT Lifecycle'!D11</f>
        <v>Stimme nicht zu</v>
      </c>
      <c r="F80" s="169">
        <f t="shared" si="24"/>
        <v>2</v>
      </c>
      <c r="G80" s="171">
        <f t="shared" si="22"/>
        <v>0.05</v>
      </c>
    </row>
    <row r="81" spans="1:7" x14ac:dyDescent="0.45">
      <c r="A81" s="169" t="s">
        <v>48</v>
      </c>
      <c r="B81" s="212">
        <v>80</v>
      </c>
      <c r="C81" s="218" t="str">
        <f>'IT Lifecycle'!C12</f>
        <v>Cloud Services werden regelmäßig aktualisiert (Evergreen IT). Das Unternehmen hat organisatorische Vorkehrungen getroffen, neue Releases von Cloud Services zeitnah zu prüfen und in die Produktion zu überführen. Hierfür wurde u.a. der Release und Deployment Plan auf die veränderten Supportregelung für Cloud Services umgestellt, z.B. Support von max. n-2 Office 365 Pro Plus Releaseständen (Deployment Candidates) mit einem Releasewechsel aller 4 Monate.</v>
      </c>
      <c r="D81" s="170">
        <f>'IT Lifecycle'!B12</f>
        <v>0.125</v>
      </c>
      <c r="E81" s="170" t="str">
        <f>'IT Lifecycle'!D12</f>
        <v>Stimme nicht zu</v>
      </c>
      <c r="F81" s="169">
        <f t="shared" si="24"/>
        <v>2</v>
      </c>
      <c r="G81" s="171">
        <f t="shared" si="22"/>
        <v>0.05</v>
      </c>
    </row>
    <row r="82" spans="1:7" x14ac:dyDescent="0.45">
      <c r="A82" s="169" t="s">
        <v>48</v>
      </c>
      <c r="B82" s="212">
        <v>81</v>
      </c>
      <c r="C82" s="218">
        <f>'IT Lifecycle'!C13</f>
        <v>0</v>
      </c>
      <c r="D82" s="170">
        <f>'IT Lifecycle'!B13</f>
        <v>0</v>
      </c>
      <c r="E82" s="170" t="str">
        <f>'IT Lifecycle'!D13</f>
        <v>Ja</v>
      </c>
      <c r="F82" s="169">
        <f t="shared" si="21"/>
        <v>5</v>
      </c>
      <c r="G82" s="171">
        <f t="shared" si="22"/>
        <v>0</v>
      </c>
    </row>
    <row r="83" spans="1:7" x14ac:dyDescent="0.45">
      <c r="A83" s="169" t="s">
        <v>48</v>
      </c>
      <c r="B83" s="212">
        <v>82</v>
      </c>
      <c r="C83" s="218">
        <f>'IT Lifecycle'!C14</f>
        <v>0</v>
      </c>
      <c r="D83" s="170">
        <f>'IT Lifecycle'!B14</f>
        <v>0</v>
      </c>
      <c r="E83" s="170" t="str">
        <f>'IT Lifecycle'!D14</f>
        <v>Ja</v>
      </c>
      <c r="F83" s="169">
        <f t="shared" si="21"/>
        <v>5</v>
      </c>
      <c r="G83" s="171">
        <f t="shared" ref="G83" si="25">(F83/5)*D83</f>
        <v>0</v>
      </c>
    </row>
    <row r="84" spans="1:7" x14ac:dyDescent="0.45">
      <c r="A84" s="169" t="s">
        <v>35</v>
      </c>
      <c r="B84" s="212">
        <v>83</v>
      </c>
      <c r="C84" s="218" t="str">
        <f>'IT Security und Datenschutz'!C5</f>
        <v xml:space="preserve">Die technische Prüfung und Abnahme von Cloud Services erfolgt in einer cloudbasierten Testumgebung, welche der Produktionsumgebung ähnlich, jedoch von der Produktionsumgebung technisch getrennt ist, z.B. über verschiedene Microsoft Azure AD Tenants. </v>
      </c>
      <c r="D84" s="170">
        <f>'IT Security und Datenschutz'!B5</f>
        <v>0.1</v>
      </c>
      <c r="E84" s="170" t="str">
        <f>'IT Security und Datenschutz'!D5</f>
        <v>Nein</v>
      </c>
      <c r="F84" s="169">
        <f t="shared" si="21"/>
        <v>1</v>
      </c>
      <c r="G84" s="171">
        <f t="shared" si="18"/>
        <v>2.0000000000000004E-2</v>
      </c>
    </row>
    <row r="85" spans="1:7" x14ac:dyDescent="0.45">
      <c r="A85" s="169" t="s">
        <v>35</v>
      </c>
      <c r="B85" s="212">
        <v>84</v>
      </c>
      <c r="C85" s="218" t="str">
        <f>'IT Security und Datenschutz'!C6</f>
        <v>Für alle Geräte und User, die Zugriff auf das Unternehmensnetzwerk oder Cloud Services haben, ist eine Authentifizierung und Autorisierung erforderlich. Kein Gerät oder User kann eine Verbindung zum Unternehmensnetzwerk oder zu Cloud Services herstellen, ohne die Sicherheitsrichtlinien (Policies) zu erfüllen.</v>
      </c>
      <c r="D85" s="170">
        <f>'IT Security und Datenschutz'!B6</f>
        <v>0.1</v>
      </c>
      <c r="E85" s="170" t="str">
        <f>'IT Security und Datenschutz'!D6</f>
        <v>Stimme zu</v>
      </c>
      <c r="F85" s="169">
        <f t="shared" ref="F85" si="26">IF(E85="Stimme voll zu",5,(IF(E85="Stimme zu",4,(IF(E85="Weder Zustimmung noch Ablehnung",3,(IF(E85="Stimme nicht zu",2,(IF(E85="Stimme überhaupt nicht zu",1,0)))))))))</f>
        <v>4</v>
      </c>
      <c r="G85" s="171">
        <f t="shared" ref="G85:G96" si="27">(F85/5)*D85</f>
        <v>8.0000000000000016E-2</v>
      </c>
    </row>
    <row r="86" spans="1:7" x14ac:dyDescent="0.45">
      <c r="A86" s="169" t="s">
        <v>35</v>
      </c>
      <c r="B86" s="212">
        <v>85</v>
      </c>
      <c r="C86" s="218" t="str">
        <f>'IT Security und Datenschutz'!C7</f>
        <v>Alle Ports, Protokolle und Service Konfigurationen für den Netzwerkzugang und insb. für den Zugriff auf Cloud Services in einer Hybrid- oder Public-Cloud werden dokumentiert und im Falle von Konfigurationsänderungen aktualisiert.</v>
      </c>
      <c r="D86" s="170">
        <f>'IT Security und Datenschutz'!B7</f>
        <v>0.1</v>
      </c>
      <c r="E86" s="170" t="str">
        <f>'IT Security und Datenschutz'!D7</f>
        <v>Nein</v>
      </c>
      <c r="F86" s="169">
        <f t="shared" si="21"/>
        <v>1</v>
      </c>
      <c r="G86" s="171">
        <f t="shared" si="27"/>
        <v>2.0000000000000004E-2</v>
      </c>
    </row>
    <row r="87" spans="1:7" x14ac:dyDescent="0.45">
      <c r="A87" s="169" t="s">
        <v>35</v>
      </c>
      <c r="B87" s="212">
        <v>86</v>
      </c>
      <c r="C87" s="218" t="str">
        <f>'IT Security und Datenschutz'!C8</f>
        <v>Das Unternehmen verwendet eine Firewall, um den Zugang auf das Unternehmensnetzwerk und zu Cloud Services zu kontrollieren. Mit regelmäßigen Scans werden die Firewall-Services auf ihre Verfügbarkeit und Wirksamkeit überprüft. Darüber hinaus werden Scan-Tools eingesetzt, um 
- Schwachstellen im Unternehmensnetzwerk (LAN / WAN / WLAN) zu erkennen, 
- Nutzer- und Geräte-Aktivitäten zu überwachen und Auffälligkeiten zu melden.</v>
      </c>
      <c r="D87" s="170">
        <f>'IT Security und Datenschutz'!B8</f>
        <v>0.1</v>
      </c>
      <c r="E87" s="170" t="str">
        <f>'IT Security und Datenschutz'!D8</f>
        <v>Stimme zu</v>
      </c>
      <c r="F87" s="169">
        <f t="shared" ref="F87" si="28">IF(E87="Stimme voll zu",5,(IF(E87="Stimme zu",4,(IF(E87="Weder Zustimmung noch Ablehnung",3,(IF(E87="Stimme nicht zu",2,(IF(E87="Stimme überhaupt nicht zu",1,0)))))))))</f>
        <v>4</v>
      </c>
      <c r="G87" s="171">
        <f t="shared" si="27"/>
        <v>8.0000000000000016E-2</v>
      </c>
    </row>
    <row r="88" spans="1:7" x14ac:dyDescent="0.45">
      <c r="A88" s="169" t="s">
        <v>35</v>
      </c>
      <c r="B88" s="212">
        <v>87</v>
      </c>
      <c r="C88" s="218" t="str">
        <f>'IT Security und Datenschutz'!C9</f>
        <v>Um sich vor Angriffen bei der Verwendung von Cloud Services zu schützen, verwendet das Unternehmen neben der klassischen Firewall eine Web Application Firewall.</v>
      </c>
      <c r="D88" s="170">
        <f>'IT Security und Datenschutz'!B9</f>
        <v>0.1</v>
      </c>
      <c r="E88" s="170" t="str">
        <f>'IT Security und Datenschutz'!D9</f>
        <v>Ja</v>
      </c>
      <c r="F88" s="169">
        <f t="shared" si="21"/>
        <v>5</v>
      </c>
      <c r="G88" s="171">
        <f t="shared" si="27"/>
        <v>0.1</v>
      </c>
    </row>
    <row r="89" spans="1:7" x14ac:dyDescent="0.45">
      <c r="A89" s="169" t="s">
        <v>35</v>
      </c>
      <c r="B89" s="212">
        <v>88</v>
      </c>
      <c r="C89" s="218" t="str">
        <f>'IT Security und Datenschutz'!C10</f>
        <v>Für die Anmeldung berechtigter mobiler User am Unternehmensnetzwerk oder für den Zugriff auf Cloud Services wird eine Zwei-Wege Authentifizierung verwendet.</v>
      </c>
      <c r="D89" s="170">
        <f>'IT Security und Datenschutz'!B10</f>
        <v>0.1</v>
      </c>
      <c r="E89" s="170" t="str">
        <f>'IT Security und Datenschutz'!D10</f>
        <v>Nein</v>
      </c>
      <c r="F89" s="169">
        <f t="shared" si="21"/>
        <v>1</v>
      </c>
      <c r="G89" s="171">
        <f t="shared" si="27"/>
        <v>2.0000000000000004E-2</v>
      </c>
    </row>
    <row r="90" spans="1:7" x14ac:dyDescent="0.45">
      <c r="A90" s="169" t="s">
        <v>35</v>
      </c>
      <c r="B90" s="212">
        <v>89</v>
      </c>
      <c r="C90" s="218" t="str">
        <f>'IT Security und Datenschutz'!C11</f>
        <v>Das Unternehmen kennt und befolgt alle gesetzlichen und regulatorischen Anforderungen bezüglich Datenschutz und Datensicherheit. Alle Geschäftsprozesse unterliegen einer jährlichen Überprüfung, um Datensicherheit zu gewährleisten.</v>
      </c>
      <c r="D90" s="170">
        <f>'IT Security und Datenschutz'!B11</f>
        <v>0.1</v>
      </c>
      <c r="E90" s="170" t="str">
        <f>'IT Security und Datenschutz'!D11</f>
        <v>Stimme voll zu</v>
      </c>
      <c r="F90" s="169">
        <f t="shared" ref="F90:F93" si="29">IF(E90="Stimme voll zu",5,(IF(E90="Stimme zu",4,(IF(E90="Weder Zustimmung noch Ablehnung",3,(IF(E90="Stimme nicht zu",2,(IF(E90="Stimme überhaupt nicht zu",1,0)))))))))</f>
        <v>5</v>
      </c>
      <c r="G90" s="171">
        <f t="shared" si="27"/>
        <v>0.1</v>
      </c>
    </row>
    <row r="91" spans="1:7" x14ac:dyDescent="0.45">
      <c r="A91" s="169" t="s">
        <v>35</v>
      </c>
      <c r="B91" s="212">
        <v>90</v>
      </c>
      <c r="C91" s="218" t="str">
        <f>'IT Security und Datenschutz'!C12</f>
        <v>Alle Daten im Unternehmen sind bzgl. ihres Schutzbedarfes (Vertraulichkeit, Integrität, Verfügbarkeit) bewertet: 
- normal (Schadensauswirkungen sind begrenzt und überschaubar),
- hoch (Schadensauswirkungen können beträchtlich sein),
- sehr hoch (Schadensauswirkungen können ein existentiell bedrohliches Ausmaß erreichen).</v>
      </c>
      <c r="D91" s="170">
        <f>'IT Security und Datenschutz'!B12</f>
        <v>0.1</v>
      </c>
      <c r="E91" s="170" t="str">
        <f>'IT Security und Datenschutz'!D12</f>
        <v>Weder Zustimmung noch Ablehnung (Neutral)</v>
      </c>
      <c r="F91" s="169">
        <f t="shared" si="29"/>
        <v>0</v>
      </c>
      <c r="G91" s="171">
        <f t="shared" si="27"/>
        <v>0</v>
      </c>
    </row>
    <row r="92" spans="1:7" x14ac:dyDescent="0.45">
      <c r="A92" s="169" t="s">
        <v>35</v>
      </c>
      <c r="B92" s="212">
        <v>91</v>
      </c>
      <c r="C92" s="218" t="str">
        <f>'IT Security und Datenschutz'!C13</f>
        <v>Darüber hinaus wurde oder wird eine Risikoanalyse zur Bewertung und Priorisierung der erforderlichen Maßnahmen zur Einhaltung der Bestimmungen der Datenschutzgrundverordnung (DGSVO) durchgeführt, um 
- den aktuellen Stand der Tätigkeiten und Kenntnisse im Bereich des Datenschutzes zu bewerten,
- eine möglich Non-Compliance im Hinblick auf die DSGVO festzustellen und 
- letztlich Maßnahmen zur Umstellung auf die DSGVO abzuleiten.</v>
      </c>
      <c r="D92" s="170">
        <f>'IT Security und Datenschutz'!B13</f>
        <v>0.1</v>
      </c>
      <c r="E92" s="170" t="str">
        <f>'IT Security und Datenschutz'!D13</f>
        <v>Weder Zustimmung noch Ablehnung (Neutral)</v>
      </c>
      <c r="F92" s="169">
        <f t="shared" si="29"/>
        <v>0</v>
      </c>
      <c r="G92" s="171">
        <f t="shared" si="27"/>
        <v>0</v>
      </c>
    </row>
    <row r="93" spans="1:7" x14ac:dyDescent="0.45">
      <c r="A93" s="169" t="s">
        <v>35</v>
      </c>
      <c r="B93" s="212">
        <v>92</v>
      </c>
      <c r="C93" s="218" t="str">
        <f>'IT Security und Datenschutz'!C14</f>
        <v>Die Ergebnisse der Risikoanalyse sowie die erforderlichen Maßnahmen wurden oder werden mit den Stakeholdern diskutiert und vom Management freigegeben.</v>
      </c>
      <c r="D93" s="170">
        <f>'IT Security und Datenschutz'!B14</f>
        <v>0</v>
      </c>
      <c r="E93" s="170" t="str">
        <f>'IT Security und Datenschutz'!D14</f>
        <v>Stimme voll zu</v>
      </c>
      <c r="F93" s="169">
        <f t="shared" si="29"/>
        <v>5</v>
      </c>
      <c r="G93" s="171">
        <f t="shared" si="27"/>
        <v>0</v>
      </c>
    </row>
    <row r="94" spans="1:7" x14ac:dyDescent="0.45">
      <c r="A94" s="169" t="s">
        <v>35</v>
      </c>
      <c r="B94" s="212">
        <v>93</v>
      </c>
      <c r="C94" s="218" t="str">
        <f>'IT Security und Datenschutz'!C15</f>
        <v>Entsprechend der Schutzbedarffestellung wird der Austausch von Daten des Unternehmens mit Cloud  Services reglementiert.</v>
      </c>
      <c r="D94" s="170">
        <f>'IT Security und Datenschutz'!B15</f>
        <v>0.1</v>
      </c>
      <c r="E94" s="170" t="str">
        <f>'IT Security und Datenschutz'!D15</f>
        <v>Nein</v>
      </c>
      <c r="F94" s="169">
        <f t="shared" si="21"/>
        <v>1</v>
      </c>
      <c r="G94" s="171">
        <f t="shared" si="27"/>
        <v>2.0000000000000004E-2</v>
      </c>
    </row>
    <row r="95" spans="1:7" x14ac:dyDescent="0.45">
      <c r="A95" s="169" t="s">
        <v>35</v>
      </c>
      <c r="B95" s="212">
        <v>94</v>
      </c>
      <c r="C95" s="218">
        <f>'IT Security und Datenschutz'!C16</f>
        <v>0</v>
      </c>
      <c r="D95" s="170">
        <f>'IT Security und Datenschutz'!B16</f>
        <v>0</v>
      </c>
      <c r="E95" s="170" t="str">
        <f>'IT Security und Datenschutz'!D16</f>
        <v>Ja</v>
      </c>
      <c r="F95" s="169">
        <f t="shared" si="21"/>
        <v>5</v>
      </c>
      <c r="G95" s="171">
        <f t="shared" si="27"/>
        <v>0</v>
      </c>
    </row>
    <row r="96" spans="1:7" x14ac:dyDescent="0.45">
      <c r="A96" s="169" t="s">
        <v>35</v>
      </c>
      <c r="B96" s="212">
        <v>94</v>
      </c>
      <c r="C96" s="218">
        <f>'IT Security und Datenschutz'!C16</f>
        <v>0</v>
      </c>
      <c r="D96" s="170">
        <f>'IT Security und Datenschutz'!B16</f>
        <v>0</v>
      </c>
      <c r="E96" s="170" t="str">
        <f>'IT Security und Datenschutz'!D16</f>
        <v>Ja</v>
      </c>
      <c r="F96" s="169">
        <f t="shared" si="21"/>
        <v>5</v>
      </c>
      <c r="G96" s="171">
        <f t="shared" si="27"/>
        <v>0</v>
      </c>
    </row>
    <row r="97" spans="1:7" x14ac:dyDescent="0.45">
      <c r="A97" s="177" t="s">
        <v>42</v>
      </c>
      <c r="B97" s="213">
        <v>94</v>
      </c>
      <c r="C97" s="219" t="str">
        <f>'Cloud Kompetenzen'!C5</f>
        <v>Das Management des Unternehmens ist über aktuelle Entwicklungen im IT-Umfeld grundlegend informiert, z.B. 
- Cloud Services, 
- Virtualisierung,
- Digitalisierung, 
- Internet of Things,
- Big Data,
- Artificial Intelligence,
- Blockchain,
- Mesh App and Service Architecture,
- Adaptive Security Architecture etc.
Zudem versteht das Management die Implikationen dieser Entwicklungen auf die Produktivität des Unternehmens, das Leistungsangebot, die Wettbewerbsfähigkeit etc.</v>
      </c>
      <c r="D97" s="179">
        <f>'Cloud Kompetenzen'!B5</f>
        <v>0.2</v>
      </c>
      <c r="E97" s="179" t="str">
        <f>'Cloud Kompetenzen'!D5</f>
        <v>Stimme zu</v>
      </c>
      <c r="F97" s="178">
        <f t="shared" ref="F97:F100" si="30">IF(E97="Stimme voll zu",5,(IF(E97="Stimme zu",4,(IF(E97="Weder Zustimmung noch Ablehnung",3,(IF(E97="Stimme nicht zu",2,(IF(E97="Stimme überhaupt nicht zu",1,0)))))))))</f>
        <v>4</v>
      </c>
      <c r="G97" s="180">
        <f t="shared" ref="G97:G103" si="31">(F97/5)*D97</f>
        <v>0.16000000000000003</v>
      </c>
    </row>
    <row r="98" spans="1:7" x14ac:dyDescent="0.45">
      <c r="A98" s="177" t="s">
        <v>42</v>
      </c>
      <c r="B98" s="213">
        <v>95</v>
      </c>
      <c r="C98" s="219" t="str">
        <f>'Cloud Kompetenzen'!C6</f>
        <v>Die Mitarbeiter im Unternehmen werden regelmäßig und zielgruppengerecht über anstehende Änderungen im IT-Umfeld informiert, z.B. 
- Bereitstellung einer neuen PC Konfiguration, 
- neue oder aktualisierte Softwareprodukte,
- neue IT- / Cloud Services.</v>
      </c>
      <c r="D98" s="179">
        <f>'Cloud Kompetenzen'!B6</f>
        <v>0.2</v>
      </c>
      <c r="E98" s="179" t="str">
        <f>'Cloud Kompetenzen'!D6</f>
        <v>Stimme zu</v>
      </c>
      <c r="F98" s="178">
        <f t="shared" si="30"/>
        <v>4</v>
      </c>
      <c r="G98" s="180">
        <f t="shared" si="31"/>
        <v>0.16000000000000003</v>
      </c>
    </row>
    <row r="99" spans="1:7" x14ac:dyDescent="0.45">
      <c r="A99" s="177" t="s">
        <v>42</v>
      </c>
      <c r="B99" s="213">
        <v>96</v>
      </c>
      <c r="C99" s="219" t="str">
        <f>'Cloud Kompetenzen'!C7</f>
        <v>Die Mitarbeiter in der IT verfügen über umfangreiche Kenntnisse der aktuellen Entwicklungen und Trends im IT-Umfeld und sind in der Lage, dieses Wissen in ihrem jeweiligen Verantwortungsbereich umzusetzen, z.B. 
- bei der Planung von Prozessen und Abläufen, 
- bei der Steuerung von IT-Systemen, 
- bei der Durchführung von IT-Projekten.</v>
      </c>
      <c r="D99" s="179">
        <f>'Cloud Kompetenzen'!B7</f>
        <v>0.2</v>
      </c>
      <c r="E99" s="179" t="str">
        <f>'Cloud Kompetenzen'!D7</f>
        <v>Stimme zu</v>
      </c>
      <c r="F99" s="178">
        <f t="shared" si="30"/>
        <v>4</v>
      </c>
      <c r="G99" s="180">
        <f t="shared" si="31"/>
        <v>0.16000000000000003</v>
      </c>
    </row>
    <row r="100" spans="1:7" x14ac:dyDescent="0.45">
      <c r="A100" s="177" t="s">
        <v>42</v>
      </c>
      <c r="B100" s="213">
        <v>97</v>
      </c>
      <c r="C100" s="219" t="str">
        <f>'Cloud Kompetenzen'!C8</f>
        <v>IT-Mitarbeiter, die an der Umsetzung von Cloud Konzepten beteiligt sind, verfügen darüber hinaus über fundiertes Wissen über 
- Cloud Technologien (Anforderungen an IT-Infrastruktur, IT-Sicherheit etc.), 
- die technologischen Parameter der zu implementierenden Cloud Services, z.B. Office 365, Azure, und 
- die Abhängigkeiten zwischen den Cloud Services und der bestehende IT-Infrastruktur des Unternehmens, z.B. technische Anbindung, Interoperabilität zwischen Systemen.
Sofern Kompetenzen im Cloud Umfeld im Unternehmen nicht oder in nicht ausreichendem Umfang vorhanden sind, werden externe Ressourcen mit entsprechender Qualifikation hinzugezogen, z.B. Cloud Solution Provider von Microsoft.</v>
      </c>
      <c r="D100" s="179">
        <f>'Cloud Kompetenzen'!B8</f>
        <v>0.2</v>
      </c>
      <c r="E100" s="179" t="str">
        <f>'Cloud Kompetenzen'!D8</f>
        <v>Stimme zu</v>
      </c>
      <c r="F100" s="178">
        <f t="shared" si="30"/>
        <v>4</v>
      </c>
      <c r="G100" s="180">
        <f t="shared" si="31"/>
        <v>0.16000000000000003</v>
      </c>
    </row>
    <row r="101" spans="1:7" x14ac:dyDescent="0.45">
      <c r="A101" s="177" t="s">
        <v>42</v>
      </c>
      <c r="B101" s="213">
        <v>98</v>
      </c>
      <c r="C101" s="219" t="str">
        <f>'Cloud Kompetenzen'!C9</f>
        <v>Zwischen der IT-Organisation und den Softwareherstellern findet ein regelmäßiger Erfahrungsaustausch zu aktuellen Entwicklungen im Cloud Umfeld statt.</v>
      </c>
      <c r="D101" s="179">
        <f>'Cloud Kompetenzen'!B9</f>
        <v>0.2</v>
      </c>
      <c r="E101" s="179" t="str">
        <f>'Cloud Kompetenzen'!D9</f>
        <v>Ja</v>
      </c>
      <c r="F101" s="178">
        <f t="shared" si="21"/>
        <v>5</v>
      </c>
      <c r="G101" s="180">
        <f t="shared" si="31"/>
        <v>0.2</v>
      </c>
    </row>
    <row r="102" spans="1:7" x14ac:dyDescent="0.45">
      <c r="A102" s="177" t="s">
        <v>42</v>
      </c>
      <c r="B102" s="213">
        <v>99</v>
      </c>
      <c r="C102" s="219">
        <f>'Cloud Kompetenzen'!C10</f>
        <v>0</v>
      </c>
      <c r="D102" s="179">
        <f>'Cloud Kompetenzen'!B10</f>
        <v>0</v>
      </c>
      <c r="E102" s="179" t="str">
        <f>'Cloud Kompetenzen'!D10</f>
        <v>Ja</v>
      </c>
      <c r="F102" s="178">
        <f t="shared" si="21"/>
        <v>5</v>
      </c>
      <c r="G102" s="180">
        <f t="shared" si="31"/>
        <v>0</v>
      </c>
    </row>
    <row r="103" spans="1:7" x14ac:dyDescent="0.45">
      <c r="A103" s="177" t="s">
        <v>42</v>
      </c>
      <c r="B103" s="213">
        <v>100</v>
      </c>
      <c r="C103" s="219">
        <f>'Cloud Kompetenzen'!C11</f>
        <v>0</v>
      </c>
      <c r="D103" s="179">
        <f>'Cloud Kompetenzen'!B11</f>
        <v>0</v>
      </c>
      <c r="E103" s="179" t="str">
        <f>'Cloud Kompetenzen'!D11</f>
        <v>Ja</v>
      </c>
      <c r="F103" s="178">
        <f t="shared" si="21"/>
        <v>5</v>
      </c>
      <c r="G103" s="180">
        <f t="shared" si="31"/>
        <v>0</v>
      </c>
    </row>
    <row r="104" spans="1:7" x14ac:dyDescent="0.45">
      <c r="A104" s="177" t="s">
        <v>36</v>
      </c>
      <c r="B104" s="213">
        <v>101</v>
      </c>
      <c r="C104" s="219" t="str">
        <f>Personalentwicklung!C5</f>
        <v>Vor bzw. mit der Einführung von Cloud Services werden Mitarbeiter in deren Verwendung ausführlich geschult.</v>
      </c>
      <c r="D104" s="179">
        <f>Personalentwicklung!B5</f>
        <v>0.14285714285714285</v>
      </c>
      <c r="E104" s="179" t="str">
        <f>Personalentwicklung!D5</f>
        <v>Ja</v>
      </c>
      <c r="F104" s="178">
        <f t="shared" si="21"/>
        <v>5</v>
      </c>
      <c r="G104" s="180">
        <f t="shared" ref="G104:G122" si="32">(F104/5)*D104</f>
        <v>0.14285714285714285</v>
      </c>
    </row>
    <row r="105" spans="1:7" x14ac:dyDescent="0.45">
      <c r="A105" s="177" t="s">
        <v>36</v>
      </c>
      <c r="B105" s="213">
        <v>102</v>
      </c>
      <c r="C105" s="219" t="str">
        <f>Personalentwicklung!C6</f>
        <v>Die angebotenen bzw. obligatorischen Schulungen sind zielgruppenspezifisch und umfassen u.a. 
- die Nutzung von On Premise Softwarekomponenten, z.B. Office 365 Pro Plus, 
- den Zugriff auf Online Dienste, z.B. Office Online,
- die Verbindung von On Premise Software mit Online Diensten, z.B. OneDrive.</v>
      </c>
      <c r="D105" s="179">
        <f>Personalentwicklung!B6</f>
        <v>0.14285714285714285</v>
      </c>
      <c r="E105" s="179" t="str">
        <f>Personalentwicklung!D6</f>
        <v>Stimme zu</v>
      </c>
      <c r="F105" s="178">
        <f t="shared" ref="F105" si="33">IF(E105="Stimme voll zu",5,(IF(E105="Stimme zu",4,(IF(E105="Weder Zustimmung noch Ablehnung",3,(IF(E105="Stimme nicht zu",2,(IF(E105="Stimme überhaupt nicht zu",1,0)))))))))</f>
        <v>4</v>
      </c>
      <c r="G105" s="180">
        <f t="shared" ref="G105:G109" si="34">(F105/5)*D105</f>
        <v>0.11428571428571428</v>
      </c>
    </row>
    <row r="106" spans="1:7" x14ac:dyDescent="0.45">
      <c r="A106" s="177" t="s">
        <v>36</v>
      </c>
      <c r="B106" s="213">
        <v>103</v>
      </c>
      <c r="C106" s="219" t="str">
        <f>Personalentwicklung!C7</f>
        <v>Für Mitarbeiter in der IT Organisation existieren dedizierte Trainingspläne und Qualifizierungskonzepte.</v>
      </c>
      <c r="D106" s="179">
        <f>Personalentwicklung!B7</f>
        <v>0.14285714285714285</v>
      </c>
      <c r="E106" s="179" t="str">
        <f>Personalentwicklung!D7</f>
        <v>Ja</v>
      </c>
      <c r="F106" s="178">
        <f t="shared" ref="F106" si="35">IF(E106="Nein",1,5)</f>
        <v>5</v>
      </c>
      <c r="G106" s="180">
        <f t="shared" si="34"/>
        <v>0.14285714285714285</v>
      </c>
    </row>
    <row r="107" spans="1:7" x14ac:dyDescent="0.45">
      <c r="A107" s="177" t="s">
        <v>36</v>
      </c>
      <c r="B107" s="213">
        <v>104</v>
      </c>
      <c r="C107" s="219" t="str">
        <f>Personalentwicklung!C8</f>
        <v>Entsprechend dieser Pläne und Konzepte wird sichergestellt, dass die Mitarbeiter über die für ihren jeweiligen Verantwortungsbereich erforderlichen Kompetenzen verfügen und regelmäßig mit relevanten technischen Entwicklungen vertraut gemacht werden.</v>
      </c>
      <c r="D107" s="179">
        <f>Personalentwicklung!B8</f>
        <v>0.14285714285714285</v>
      </c>
      <c r="E107" s="179" t="str">
        <f>Personalentwicklung!D8</f>
        <v>Stimme zu</v>
      </c>
      <c r="F107" s="178">
        <f t="shared" ref="F107:F109" si="36">IF(E107="Stimme voll zu",5,(IF(E107="Stimme zu",4,(IF(E107="Weder Zustimmung noch Ablehnung",3,(IF(E107="Stimme nicht zu",2,(IF(E107="Stimme überhaupt nicht zu",1,0)))))))))</f>
        <v>4</v>
      </c>
      <c r="G107" s="180">
        <f t="shared" si="34"/>
        <v>0.11428571428571428</v>
      </c>
    </row>
    <row r="108" spans="1:7" x14ac:dyDescent="0.45">
      <c r="A108" s="177" t="s">
        <v>36</v>
      </c>
      <c r="B108" s="213">
        <v>105</v>
      </c>
      <c r="C108" s="219" t="str">
        <f>Personalentwicklung!C9</f>
        <v>In Bezug auf die Datenschutzgrundverordnung werden Trainings durchgeführt, die die Neuerungen bzw. Änderungen im Unternehmen bekannt machen und die jeweiligen Fachbereiche über die notwendigen Schritte informiert, die zur Anpassung an die entsprechenden Richtlinien notwendig sind.</v>
      </c>
      <c r="D108" s="179">
        <f>Personalentwicklung!B9</f>
        <v>0.14285714285714285</v>
      </c>
      <c r="E108" s="179" t="str">
        <f>Personalentwicklung!D9</f>
        <v>Weder Zustimmung noch Ablehnung (Neutral)</v>
      </c>
      <c r="F108" s="178">
        <f t="shared" si="36"/>
        <v>0</v>
      </c>
      <c r="G108" s="180">
        <f t="shared" si="34"/>
        <v>0</v>
      </c>
    </row>
    <row r="109" spans="1:7" x14ac:dyDescent="0.45">
      <c r="A109" s="177" t="s">
        <v>36</v>
      </c>
      <c r="B109" s="213">
        <v>106</v>
      </c>
      <c r="C109" s="219" t="str">
        <f>Personalentwicklung!C10</f>
        <v>Der Erwerb international anerkannter personenbezogener Zertifizierungen im Cloud Umfeld wird vom Unternehmen unterstützt, z. B. 
- Technology Associate (Microsoft), 
- Certified Solutions Associate for Cloud Platform (Microsoft),
- Cloud Solution Professional (Cloud School), 
- Certified Cloud Security Professional ((ISC)²).</v>
      </c>
      <c r="D109" s="179">
        <f>Personalentwicklung!B10</f>
        <v>0.14285714285714285</v>
      </c>
      <c r="E109" s="179" t="str">
        <f>Personalentwicklung!D10</f>
        <v>Weder Zustimmung noch Ablehnung (Neutral)</v>
      </c>
      <c r="F109" s="178">
        <f t="shared" si="36"/>
        <v>0</v>
      </c>
      <c r="G109" s="180">
        <f t="shared" si="34"/>
        <v>0</v>
      </c>
    </row>
    <row r="110" spans="1:7" x14ac:dyDescent="0.45">
      <c r="A110" s="177" t="s">
        <v>36</v>
      </c>
      <c r="B110" s="213">
        <v>106</v>
      </c>
      <c r="C110" s="219" t="str">
        <f>Personalentwicklung!C11</f>
        <v xml:space="preserve">Alle Qualifikationsmaßnahmen sind mit den Sozialpartnern im Unternehmen abgestimmt. </v>
      </c>
      <c r="D110" s="179">
        <f>Personalentwicklung!B11</f>
        <v>0.14285714285714285</v>
      </c>
      <c r="E110" s="179" t="str">
        <f>Personalentwicklung!D11</f>
        <v>Ja</v>
      </c>
      <c r="F110" s="178">
        <f t="shared" si="21"/>
        <v>5</v>
      </c>
      <c r="G110" s="180">
        <f t="shared" si="32"/>
        <v>0.14285714285714285</v>
      </c>
    </row>
    <row r="111" spans="1:7" x14ac:dyDescent="0.45">
      <c r="A111" s="177" t="s">
        <v>36</v>
      </c>
      <c r="B111" s="213">
        <v>107</v>
      </c>
      <c r="C111" s="219">
        <f>Personalentwicklung!C12</f>
        <v>0</v>
      </c>
      <c r="D111" s="179">
        <f>Personalentwicklung!B12</f>
        <v>0</v>
      </c>
      <c r="E111" s="179" t="str">
        <f>Personalentwicklung!D12</f>
        <v>Ja</v>
      </c>
      <c r="F111" s="178">
        <f t="shared" si="21"/>
        <v>5</v>
      </c>
      <c r="G111" s="180">
        <f t="shared" si="32"/>
        <v>0</v>
      </c>
    </row>
    <row r="112" spans="1:7" x14ac:dyDescent="0.45">
      <c r="A112" s="177" t="s">
        <v>36</v>
      </c>
      <c r="B112" s="213">
        <v>108</v>
      </c>
      <c r="C112" s="219">
        <f>Personalentwicklung!C13</f>
        <v>0</v>
      </c>
      <c r="D112" s="179">
        <f>Personalentwicklung!B13</f>
        <v>0</v>
      </c>
      <c r="E112" s="179" t="str">
        <f>Personalentwicklung!D13</f>
        <v>Ja</v>
      </c>
      <c r="F112" s="178">
        <f t="shared" si="21"/>
        <v>5</v>
      </c>
      <c r="G112" s="180">
        <f t="shared" si="32"/>
        <v>0</v>
      </c>
    </row>
    <row r="113" spans="1:7" x14ac:dyDescent="0.45">
      <c r="A113" s="177" t="s">
        <v>37</v>
      </c>
      <c r="B113" s="213">
        <v>109</v>
      </c>
      <c r="C113" s="219" t="str">
        <f>Wissensmanagement!C5</f>
        <v xml:space="preserve">Für Cloud Konzepte erstellte Projektsteckbriefe werden zentral abgelegt und sind für alle Stakeholder zugänglich. </v>
      </c>
      <c r="D113" s="179">
        <f>Wissensmanagement!B5</f>
        <v>0.14285714285714285</v>
      </c>
      <c r="E113" s="179" t="str">
        <f>Wissensmanagement!D5</f>
        <v>Ja</v>
      </c>
      <c r="F113" s="178">
        <f t="shared" si="21"/>
        <v>5</v>
      </c>
      <c r="G113" s="180">
        <f t="shared" si="32"/>
        <v>0.14285714285714285</v>
      </c>
    </row>
    <row r="114" spans="1:7" x14ac:dyDescent="0.45">
      <c r="A114" s="177" t="s">
        <v>37</v>
      </c>
      <c r="B114" s="213">
        <v>110</v>
      </c>
      <c r="C114" s="219" t="str">
        <f>Wissensmanagement!C6</f>
        <v>Es existiert ein Arbeitskreis oder ein Lenkungsausschuss, in dem regelmäßig der Status geplanter und laufender Projekte zur Implementierung von Cloud Services abgestimmt wird.</v>
      </c>
      <c r="D114" s="179">
        <f>Wissensmanagement!B6</f>
        <v>0.14285714285714285</v>
      </c>
      <c r="E114" s="179" t="str">
        <f>Wissensmanagement!D6</f>
        <v>Ja</v>
      </c>
      <c r="F114" s="178">
        <f t="shared" si="21"/>
        <v>5</v>
      </c>
      <c r="G114" s="180">
        <f t="shared" si="32"/>
        <v>0.14285714285714285</v>
      </c>
    </row>
    <row r="115" spans="1:7" x14ac:dyDescent="0.45">
      <c r="A115" s="177" t="s">
        <v>37</v>
      </c>
      <c r="B115" s="213">
        <v>111</v>
      </c>
      <c r="C115" s="219" t="str">
        <f>Wissensmanagement!C7</f>
        <v>Bei der Umsetzung von Cloud Konzepten werden neben Berichten und Aufzeichnungen auf Grund projektbezogener Dokumentationserfordernisse wesentliche Feststellungen strukturiert dokumentiert, z.B. 
- Lessons Learned bei der Implementierung / Integration von Cloud Services, 
- Better Practices bei der Implementierung / Integration von Cloud Services,
- Risiken und Risikomanagement bei der Implementierung / Integration von Cloud Services.
In späteren Projekten wird auf diese Erfahrungen zurückgegriffen.</v>
      </c>
      <c r="D115" s="179">
        <f>Wissensmanagement!B7</f>
        <v>0.14285714285714285</v>
      </c>
      <c r="E115" s="179" t="str">
        <f>Wissensmanagement!D7</f>
        <v>Ja</v>
      </c>
      <c r="F115" s="178">
        <f t="shared" si="21"/>
        <v>5</v>
      </c>
      <c r="G115" s="180">
        <f t="shared" si="32"/>
        <v>0.14285714285714285</v>
      </c>
    </row>
    <row r="116" spans="1:7" x14ac:dyDescent="0.45">
      <c r="A116" s="177" t="s">
        <v>37</v>
      </c>
      <c r="B116" s="213">
        <v>112</v>
      </c>
      <c r="C116" s="219" t="str">
        <f>Wissensmanagement!C8</f>
        <v>Die für die Bewertung von Cloud Services maßgeblichen Datenschutzrichtlinien liegen den jeweiligen Fachbereichen vor.</v>
      </c>
      <c r="D116" s="179">
        <f>Wissensmanagement!B8</f>
        <v>0.14285714285714285</v>
      </c>
      <c r="E116" s="179" t="str">
        <f>Wissensmanagement!D8</f>
        <v>Nein</v>
      </c>
      <c r="F116" s="178">
        <f t="shared" si="21"/>
        <v>1</v>
      </c>
      <c r="G116" s="180">
        <f t="shared" si="32"/>
        <v>2.8571428571428571E-2</v>
      </c>
    </row>
    <row r="117" spans="1:7" x14ac:dyDescent="0.45">
      <c r="A117" s="177" t="s">
        <v>37</v>
      </c>
      <c r="B117" s="213">
        <v>113</v>
      </c>
      <c r="C117" s="219" t="str">
        <f>Wissensmanagement!C9</f>
        <v>Vertreter des Unternehmens nehmen regelmäßig an externen Konferenzen zum Thema Cloud Services teil bzw. engagieren sich in Interessensverbänden oder Kompetenz- / Peer-Netzwerken zum Thema Cloud.</v>
      </c>
      <c r="D117" s="179">
        <f>Wissensmanagement!B9</f>
        <v>0.14285714285714285</v>
      </c>
      <c r="E117" s="179" t="str">
        <f>Wissensmanagement!D9</f>
        <v>Weder Zustimmung noch Ablehnung (Neutral)</v>
      </c>
      <c r="F117" s="178">
        <f t="shared" ref="F117" si="37">IF(E117="Stimme voll zu",5,(IF(E117="Stimme zu",4,(IF(E117="Weder Zustimmung noch Ablehnung",3,(IF(E117="Stimme nicht zu",2,(IF(E117="Stimme überhaupt nicht zu",1,0)))))))))</f>
        <v>0</v>
      </c>
      <c r="G117" s="180">
        <f t="shared" si="32"/>
        <v>0</v>
      </c>
    </row>
    <row r="118" spans="1:7" x14ac:dyDescent="0.45">
      <c r="A118" s="177" t="s">
        <v>37</v>
      </c>
      <c r="B118" s="213">
        <v>114</v>
      </c>
      <c r="C118" s="219" t="str">
        <f>Wissensmanagement!C10</f>
        <v>Es wird zentral ein Glossar gepflegt, in dem wesentliche Begriffe im Cloud Kontext für das Unternehmen verbindlich definiert werden.</v>
      </c>
      <c r="D118" s="179">
        <f>Wissensmanagement!B10</f>
        <v>0.14285714285714285</v>
      </c>
      <c r="E118" s="179" t="str">
        <f>Wissensmanagement!D10</f>
        <v>Stimme voll zu</v>
      </c>
      <c r="F118" s="178">
        <f t="shared" si="21"/>
        <v>5</v>
      </c>
      <c r="G118" s="180">
        <f t="shared" si="32"/>
        <v>0.14285714285714285</v>
      </c>
    </row>
    <row r="119" spans="1:7" x14ac:dyDescent="0.45">
      <c r="A119" s="177" t="s">
        <v>37</v>
      </c>
      <c r="B119" s="213">
        <v>115</v>
      </c>
      <c r="C119" s="219" t="str">
        <f>Wissensmanagement!C11</f>
        <v>Es existiert ein betriebliches Vorschlagswesen, welches Vorschläge der Mitarbeiter für die Unternehmensentwicklung berücksichtigt und insb. Ideen zur Digitalisierung von Geschäftsprozessen und zu Cloud Konzepten prämiert.</v>
      </c>
      <c r="D119" s="179">
        <f>Wissensmanagement!B11</f>
        <v>0.14285714285714285</v>
      </c>
      <c r="E119" s="179" t="str">
        <f>Wissensmanagement!D11</f>
        <v>Ja</v>
      </c>
      <c r="F119" s="178">
        <f t="shared" si="21"/>
        <v>5</v>
      </c>
      <c r="G119" s="180">
        <f t="shared" si="32"/>
        <v>0.14285714285714285</v>
      </c>
    </row>
    <row r="120" spans="1:7" x14ac:dyDescent="0.45">
      <c r="A120" s="177" t="s">
        <v>37</v>
      </c>
      <c r="B120" s="213">
        <v>115</v>
      </c>
      <c r="C120" s="219">
        <f>Wissensmanagement!C12</f>
        <v>0</v>
      </c>
      <c r="D120" s="179">
        <f>Wissensmanagement!B12</f>
        <v>0</v>
      </c>
      <c r="E120" s="179" t="str">
        <f>Wissensmanagement!D12</f>
        <v>Ja</v>
      </c>
      <c r="F120" s="178">
        <f t="shared" si="21"/>
        <v>5</v>
      </c>
      <c r="G120" s="180">
        <f t="shared" si="32"/>
        <v>0</v>
      </c>
    </row>
    <row r="121" spans="1:7" x14ac:dyDescent="0.45">
      <c r="A121" s="177" t="s">
        <v>37</v>
      </c>
      <c r="B121" s="213">
        <v>116</v>
      </c>
      <c r="C121" s="219">
        <f>Wissensmanagement!C13</f>
        <v>0</v>
      </c>
      <c r="D121" s="179">
        <f>Wissensmanagement!B13</f>
        <v>0</v>
      </c>
      <c r="E121" s="179" t="str">
        <f>Wissensmanagement!D13</f>
        <v>Ja</v>
      </c>
      <c r="F121" s="178">
        <f t="shared" si="21"/>
        <v>5</v>
      </c>
      <c r="G121" s="180">
        <f t="shared" si="32"/>
        <v>0</v>
      </c>
    </row>
    <row r="122" spans="1:7" x14ac:dyDescent="0.45">
      <c r="A122" s="172" t="s">
        <v>49</v>
      </c>
      <c r="B122" s="214">
        <v>117</v>
      </c>
      <c r="C122" s="220" t="str">
        <f>'Aufbau- und Ablauforganisation'!C5</f>
        <v>Es existiert ein verbindlicher Geschäftsverteilungsplan im Unternehmen, der alle Organisationseinheiten einschließt.</v>
      </c>
      <c r="D122" s="175">
        <f>'Aufbau- und Ablauforganisation'!B5</f>
        <v>0.16666666666666666</v>
      </c>
      <c r="E122" s="174" t="str">
        <f>'Aufbau- und Ablauforganisation'!D5</f>
        <v>Stimme voll zu</v>
      </c>
      <c r="F122" s="173">
        <f t="shared" ref="F122:F123" si="38">IF(E122="Stimme voll zu",5,(IF(E122="Stimme zu",4,(IF(E122="Weder Zustimmung noch Ablehnung",3,(IF(E122="Stimme nicht zu",2,(IF(E122="Stimme überhaupt nicht zu",1,0)))))))))</f>
        <v>5</v>
      </c>
      <c r="G122" s="176">
        <f t="shared" si="32"/>
        <v>0.16666666666666666</v>
      </c>
    </row>
    <row r="123" spans="1:7" x14ac:dyDescent="0.45">
      <c r="A123" s="172" t="s">
        <v>49</v>
      </c>
      <c r="B123" s="214">
        <v>118</v>
      </c>
      <c r="C123" s="220" t="str">
        <f>'Aufbau- und Ablauforganisation'!C6</f>
        <v>Im Geschäftsverteilungsplan werden nach bestimmten Grundsätzen relevante Aufgabengebiete mit den jeweils verantwortlichen Rollen und Aufgaben beschrieben und auf Organisationseinheiten verteilt. Darin enthalten sind u.a. Beschreibungen zu den Zuständigkeiten (Prozesseigner) für 
- die IT-Strategie, 
- den IT-Einkauf, 
- den IT-Betrieb, 
- das IT-Controlling und 
- die IT-Sicherheit.</v>
      </c>
      <c r="D123" s="175">
        <f>'Aufbau- und Ablauforganisation'!B6</f>
        <v>0.16666666666666666</v>
      </c>
      <c r="E123" s="174" t="str">
        <f>'Aufbau- und Ablauforganisation'!D6</f>
        <v>Stimme voll zu</v>
      </c>
      <c r="F123" s="173">
        <f t="shared" si="38"/>
        <v>5</v>
      </c>
      <c r="G123" s="176">
        <f t="shared" ref="G123:G129" si="39">(F123/5)*D123</f>
        <v>0.16666666666666666</v>
      </c>
    </row>
    <row r="124" spans="1:7" x14ac:dyDescent="0.45">
      <c r="A124" s="172" t="s">
        <v>49</v>
      </c>
      <c r="B124" s="214">
        <v>119</v>
      </c>
      <c r="C124" s="220" t="str">
        <f>'Aufbau- und Ablauforganisation'!C7</f>
        <v>Der Geschäftsverteilungsplan wird mindestens jährlich überprüft und im Bedarfsfall aktualisiert.</v>
      </c>
      <c r="D124" s="175">
        <f>'Aufbau- und Ablauforganisation'!B7</f>
        <v>0.16666666666666666</v>
      </c>
      <c r="E124" s="174" t="str">
        <f>'Aufbau- und Ablauforganisation'!D7</f>
        <v>Ja</v>
      </c>
      <c r="F124" s="173">
        <f t="shared" si="21"/>
        <v>5</v>
      </c>
      <c r="G124" s="176">
        <f t="shared" si="39"/>
        <v>0.16666666666666666</v>
      </c>
    </row>
    <row r="125" spans="1:7" x14ac:dyDescent="0.45">
      <c r="A125" s="172" t="s">
        <v>49</v>
      </c>
      <c r="B125" s="214">
        <v>120</v>
      </c>
      <c r="C125" s="220" t="str">
        <f>'Aufbau- und Ablauforganisation'!C8</f>
        <v>Wesentliche Geschäftsprozesse sind in Form von Prozessanleitungen, Prozesslandkarten, Flussdiagrammen etc. beschrieben.</v>
      </c>
      <c r="D125" s="175">
        <f>'Aufbau- und Ablauforganisation'!B8</f>
        <v>0.16666666666666666</v>
      </c>
      <c r="E125" s="174" t="str">
        <f>'Aufbau- und Ablauforganisation'!D8</f>
        <v>Ja</v>
      </c>
      <c r="F125" s="173">
        <f t="shared" si="21"/>
        <v>5</v>
      </c>
      <c r="G125" s="176">
        <f t="shared" si="39"/>
        <v>0.16666666666666666</v>
      </c>
    </row>
    <row r="126" spans="1:7" x14ac:dyDescent="0.45">
      <c r="A126" s="172" t="s">
        <v>49</v>
      </c>
      <c r="B126" s="214">
        <v>121</v>
      </c>
      <c r="C126" s="220" t="str">
        <f>'Aufbau- und Ablauforganisation'!C9</f>
        <v>Die Prozessbeschreibungen beinhalten mindestens folgende Angaben:
- der Prozesseigner,
- die in den Prozess einbezogenen Rollen,
- wesentliche Aktivitäten im Prozess, 
- für jede Aktivität die erforderlichen Vorleistungen / Informationsbedarf (Input) und die Aktivitätsergebnisse (Output) sowie den Empfänger der Ergebnisse,
- die Verantwortlichkeiten der verschiedenen Rollen in den Aktivitäten, z.B. in Form von RACI Matrizen (R = Responsible, A = Accountable, C = Consulted, I = Informed),
- die erforderlichen Kompetenzen der in den Prozess einbezogenen Rollen,
- vom Prozess betroffene Stakeholder,
- die im Prozess verwendeten IT-Systeme oder IT-Services (einschließlich Cloud Services).</v>
      </c>
      <c r="D126" s="175">
        <f>'Aufbau- und Ablauforganisation'!B9</f>
        <v>0.16666666666666666</v>
      </c>
      <c r="E126" s="174" t="str">
        <f>'Aufbau- und Ablauforganisation'!D9</f>
        <v>Stimme voll zu</v>
      </c>
      <c r="F126" s="173">
        <f t="shared" ref="F126:F127" si="40">IF(E126="Stimme voll zu",5,(IF(E126="Stimme zu",4,(IF(E126="Weder Zustimmung noch Ablehnung",3,(IF(E126="Stimme nicht zu",2,(IF(E126="Stimme überhaupt nicht zu",1,0)))))))))</f>
        <v>5</v>
      </c>
      <c r="G126" s="176">
        <f t="shared" si="39"/>
        <v>0.16666666666666666</v>
      </c>
    </row>
    <row r="127" spans="1:7" x14ac:dyDescent="0.45">
      <c r="A127" s="172" t="s">
        <v>49</v>
      </c>
      <c r="B127" s="214">
        <v>122</v>
      </c>
      <c r="C127" s="220" t="str">
        <f>'Aufbau- und Ablauforganisation'!C10</f>
        <v>Änderungen in IT-Systemen mit Bezug zu Geschäftsprozessen oder bei der Bereitstellung von IT- Services (einschließlich Cloud Services) zur Unterstützung von Geschäftsprozessen werden entweder von den Prozesseignern beauftragt (Change Requests) oder im Falle von Änderungen auf Grund notwendiger Systemanpassungen mit den Prozesseignern abgestimmt.</v>
      </c>
      <c r="D127" s="175">
        <f>'Aufbau- und Ablauforganisation'!B10</f>
        <v>0.16666666666666666</v>
      </c>
      <c r="E127" s="174" t="str">
        <f>'Aufbau- und Ablauforganisation'!D10</f>
        <v>Stimme zu</v>
      </c>
      <c r="F127" s="173">
        <f t="shared" si="40"/>
        <v>4</v>
      </c>
      <c r="G127" s="176">
        <f t="shared" si="39"/>
        <v>0.13333333333333333</v>
      </c>
    </row>
    <row r="128" spans="1:7" x14ac:dyDescent="0.45">
      <c r="A128" s="172" t="s">
        <v>49</v>
      </c>
      <c r="B128" s="214">
        <v>123</v>
      </c>
      <c r="C128" s="220">
        <f>'Aufbau- und Ablauforganisation'!C11</f>
        <v>0</v>
      </c>
      <c r="D128" s="175">
        <f>'Aufbau- und Ablauforganisation'!B11</f>
        <v>0</v>
      </c>
      <c r="E128" s="174" t="str">
        <f>'Aufbau- und Ablauforganisation'!D11</f>
        <v>Ja</v>
      </c>
      <c r="F128" s="173">
        <f t="shared" si="21"/>
        <v>5</v>
      </c>
      <c r="G128" s="176">
        <f t="shared" si="39"/>
        <v>0</v>
      </c>
    </row>
    <row r="129" spans="1:7" x14ac:dyDescent="0.45">
      <c r="A129" s="172" t="s">
        <v>49</v>
      </c>
      <c r="B129" s="214">
        <v>124</v>
      </c>
      <c r="C129" s="220">
        <f>'Aufbau- und Ablauforganisation'!C12</f>
        <v>0</v>
      </c>
      <c r="D129" s="175">
        <f>'Aufbau- und Ablauforganisation'!B12</f>
        <v>0</v>
      </c>
      <c r="E129" s="174" t="str">
        <f>'Aufbau- und Ablauforganisation'!D12</f>
        <v>Ja</v>
      </c>
      <c r="F129" s="173">
        <f t="shared" si="21"/>
        <v>5</v>
      </c>
      <c r="G129" s="176">
        <f t="shared" si="39"/>
        <v>0</v>
      </c>
    </row>
    <row r="130" spans="1:7" x14ac:dyDescent="0.45">
      <c r="A130" s="172" t="s">
        <v>38</v>
      </c>
      <c r="B130" s="214">
        <v>125</v>
      </c>
      <c r="C130" s="220" t="str">
        <f>Kommunikation!C5</f>
        <v>Die IT-Organisation informiert regelmäßig, rechtzeitig und in geeigneter Form über anstehende Änderungen in IT Systemen oder bereitgestellten IT-Services (einschließlich Cloud Services).</v>
      </c>
      <c r="D130" s="175">
        <f>Kommunikation!B5</f>
        <v>0.14285714285714285</v>
      </c>
      <c r="E130" s="174" t="str">
        <f>Kommunikation!D5</f>
        <v>Ja</v>
      </c>
      <c r="F130" s="173">
        <f t="shared" si="21"/>
        <v>5</v>
      </c>
      <c r="G130" s="176">
        <f t="shared" ref="G130:G138" si="41">(F130/5)*D130</f>
        <v>0.14285714285714285</v>
      </c>
    </row>
    <row r="131" spans="1:7" x14ac:dyDescent="0.45">
      <c r="A131" s="172" t="s">
        <v>38</v>
      </c>
      <c r="B131" s="214">
        <v>126</v>
      </c>
      <c r="C131" s="220" t="str">
        <f>Kommunikation!C6</f>
        <v>Empfänger der Information sind u.a.
- Prozesseigner, 
- Projektteams, 
- Lenkungsausschüsse, 
- Betriebsrat, 
- IT-Sicherheitsbeauftragter, 
- Datenschutzbeauftragter.</v>
      </c>
      <c r="D131" s="175">
        <f>Kommunikation!B6</f>
        <v>0.14285714285714285</v>
      </c>
      <c r="E131" s="174" t="str">
        <f>Kommunikation!D6</f>
        <v>Stimme voll zu</v>
      </c>
      <c r="F131" s="173">
        <f t="shared" ref="F131:F132" si="42">IF(E131="Stimme voll zu",5,(IF(E131="Stimme zu",4,(IF(E131="Weder Zustimmung noch Ablehnung",3,(IF(E131="Stimme nicht zu",2,(IF(E131="Stimme überhaupt nicht zu",1,0)))))))))</f>
        <v>5</v>
      </c>
      <c r="G131" s="176">
        <f t="shared" si="41"/>
        <v>0.14285714285714285</v>
      </c>
    </row>
    <row r="132" spans="1:7" x14ac:dyDescent="0.45">
      <c r="A132" s="172" t="s">
        <v>38</v>
      </c>
      <c r="B132" s="214">
        <v>127</v>
      </c>
      <c r="C132" s="220" t="str">
        <f>Kommunikation!C7</f>
        <v xml:space="preserve">Alle Stakeholder können sich über das Intranet oder andere im Unternehmen genutzte Medien über laufende IT-Projekte informieren. </v>
      </c>
      <c r="D132" s="175">
        <f>Kommunikation!B7</f>
        <v>0.14285714285714285</v>
      </c>
      <c r="E132" s="174" t="str">
        <f>Kommunikation!D7</f>
        <v>Stimme zu</v>
      </c>
      <c r="F132" s="173">
        <f t="shared" si="42"/>
        <v>4</v>
      </c>
      <c r="G132" s="176">
        <f t="shared" si="41"/>
        <v>0.11428571428571428</v>
      </c>
    </row>
    <row r="133" spans="1:7" x14ac:dyDescent="0.45">
      <c r="A133" s="172" t="s">
        <v>38</v>
      </c>
      <c r="B133" s="214">
        <v>128</v>
      </c>
      <c r="C133" s="220" t="str">
        <f>Kommunikation!C8</f>
        <v>Die über IT-Projekte zur Verfügung gestellten Informationen umfassen:
- Situationsbeschreibung,
- Projektziel,
- Projektlaufzeit, 
- Projektleitung.</v>
      </c>
      <c r="D133" s="175">
        <f>Kommunikation!B8</f>
        <v>0.14285714285714285</v>
      </c>
      <c r="E133" s="174" t="str">
        <f>Kommunikation!D8</f>
        <v>Ja</v>
      </c>
      <c r="F133" s="173">
        <f t="shared" si="21"/>
        <v>5</v>
      </c>
      <c r="G133" s="176">
        <f t="shared" si="41"/>
        <v>0.14285714285714285</v>
      </c>
    </row>
    <row r="134" spans="1:7" x14ac:dyDescent="0.45">
      <c r="A134" s="172" t="s">
        <v>38</v>
      </c>
      <c r="B134" s="214">
        <v>129</v>
      </c>
      <c r="C134" s="220" t="str">
        <f>Kommunikation!C9</f>
        <v>Es existieren IT-Arbeitsgruppen, die den Markt für Cloud Services zur Umsetzung der strategischen Ziele proaktiv beobachten, bewerten und die Organisationseinheiten und Prozesseigner auf relevante Neuerrungen hinweisen.</v>
      </c>
      <c r="D134" s="175">
        <f>Kommunikation!B9</f>
        <v>0.14285714285714285</v>
      </c>
      <c r="E134" s="174" t="str">
        <f>Kommunikation!D9</f>
        <v>Stimme nicht zu</v>
      </c>
      <c r="F134" s="173">
        <f t="shared" ref="F134:F136" si="43">IF(E134="Stimme voll zu",5,(IF(E134="Stimme zu",4,(IF(E134="Weder Zustimmung noch Ablehnung",3,(IF(E134="Stimme nicht zu",2,(IF(E134="Stimme überhaupt nicht zu",1,0)))))))))</f>
        <v>2</v>
      </c>
      <c r="G134" s="176">
        <f t="shared" si="41"/>
        <v>5.7142857142857141E-2</v>
      </c>
    </row>
    <row r="135" spans="1:7" x14ac:dyDescent="0.45">
      <c r="A135" s="172" t="s">
        <v>38</v>
      </c>
      <c r="B135" s="214">
        <v>130</v>
      </c>
      <c r="C135" s="220" t="str">
        <f>Kommunikation!C10</f>
        <v xml:space="preserve">Um die Wahrnehmung im Unternehmen für anstehende oder laufende Projekte zur Umsetzung von Cloud Konzepten zu erhöhen, werden interne Marketingmaßnahmen geplant, budgetiert und umgesetzt. </v>
      </c>
      <c r="D135" s="175">
        <f>Kommunikation!B10</f>
        <v>0.14285714285714285</v>
      </c>
      <c r="E135" s="174" t="str">
        <f>Kommunikation!D10</f>
        <v>Stimme nicht zu</v>
      </c>
      <c r="F135" s="173">
        <f t="shared" si="43"/>
        <v>2</v>
      </c>
      <c r="G135" s="176">
        <f t="shared" si="41"/>
        <v>5.7142857142857141E-2</v>
      </c>
    </row>
    <row r="136" spans="1:7" x14ac:dyDescent="0.45">
      <c r="A136" s="172" t="s">
        <v>38</v>
      </c>
      <c r="B136" s="214">
        <v>131</v>
      </c>
      <c r="C136" s="220" t="str">
        <f>Kommunikation!C11</f>
        <v>Unterstützungsangebote der Cloud Service-Anbieter im Bereich Marketing sind bekannt und werden bedarfsabhängig in Anspruch genommen.</v>
      </c>
      <c r="D136" s="175">
        <f>Kommunikation!B11</f>
        <v>0.14285714285714285</v>
      </c>
      <c r="E136" s="174" t="str">
        <f>Kommunikation!D11</f>
        <v>Stimme nicht zu</v>
      </c>
      <c r="F136" s="173">
        <f t="shared" si="43"/>
        <v>2</v>
      </c>
      <c r="G136" s="176">
        <f t="shared" si="41"/>
        <v>5.7142857142857141E-2</v>
      </c>
    </row>
    <row r="137" spans="1:7" x14ac:dyDescent="0.45">
      <c r="A137" s="172" t="s">
        <v>38</v>
      </c>
      <c r="B137" s="214">
        <v>132</v>
      </c>
      <c r="C137" s="220">
        <f>Kommunikation!C12</f>
        <v>0</v>
      </c>
      <c r="D137" s="175">
        <f>Kommunikation!B12</f>
        <v>0</v>
      </c>
      <c r="E137" s="174" t="str">
        <f>Kommunikation!D12</f>
        <v>Ja</v>
      </c>
      <c r="F137" s="173">
        <f t="shared" si="21"/>
        <v>5</v>
      </c>
      <c r="G137" s="176">
        <f t="shared" si="41"/>
        <v>0</v>
      </c>
    </row>
    <row r="138" spans="1:7" x14ac:dyDescent="0.45">
      <c r="A138" s="172" t="s">
        <v>38</v>
      </c>
      <c r="B138" s="214">
        <v>133</v>
      </c>
      <c r="C138" s="220">
        <f>Kommunikation!C13</f>
        <v>0</v>
      </c>
      <c r="D138" s="175">
        <f>Kommunikation!B13</f>
        <v>0</v>
      </c>
      <c r="E138" s="174" t="str">
        <f>Kommunikation!D13</f>
        <v>Ja</v>
      </c>
      <c r="F138" s="173">
        <f t="shared" si="21"/>
        <v>5</v>
      </c>
      <c r="G138" s="176">
        <f t="shared" si="41"/>
        <v>0</v>
      </c>
    </row>
    <row r="139" spans="1:7" x14ac:dyDescent="0.45">
      <c r="A139" s="172" t="s">
        <v>39</v>
      </c>
      <c r="B139" s="214">
        <v>134</v>
      </c>
      <c r="C139" s="220" t="str">
        <f>Kontrollsysteme!C5</f>
        <v>Die Einhaltung des Geschäftsverteilungsplans und der Geschäftsprozesse wird systematisch durch eine objektive interne Kontrollstelle, z.B. Interne Revision, und / oder externe Prüfer, z.B. Wirtschaftsprüfungsgesellschaft, bewertet und Korrekturmaßnahmen zur Verbesserung der Effektivität der Unternehmensführung abgeleitet.</v>
      </c>
      <c r="D139" s="175">
        <f>Kontrollsysteme!B5</f>
        <v>0.1111111111111111</v>
      </c>
      <c r="E139" s="174" t="str">
        <f>Kontrollsysteme!D5</f>
        <v>Stimme voll zu</v>
      </c>
      <c r="F139" s="173">
        <f t="shared" ref="F139" si="44">IF(E139="Stimme voll zu",5,(IF(E139="Stimme zu",4,(IF(E139="Weder Zustimmung noch Ablehnung",3,(IF(E139="Stimme nicht zu",2,(IF(E139="Stimme überhaupt nicht zu",1,0)))))))))</f>
        <v>5</v>
      </c>
      <c r="G139" s="176">
        <f t="shared" ref="G139:G159" si="45">(F139/5)*D139</f>
        <v>0.1111111111111111</v>
      </c>
    </row>
    <row r="140" spans="1:7" x14ac:dyDescent="0.45">
      <c r="A140" s="172" t="s">
        <v>39</v>
      </c>
      <c r="B140" s="214">
        <v>135</v>
      </c>
      <c r="C140" s="220" t="str">
        <f>Kontrollsysteme!C6</f>
        <v xml:space="preserve">Unternehmerische Risiken werden systematisch identifiziert, analysiert und bewertet. </v>
      </c>
      <c r="D140" s="175">
        <f>Kontrollsysteme!B6</f>
        <v>0.1111111111111111</v>
      </c>
      <c r="E140" s="174" t="str">
        <f>Kontrollsysteme!D6</f>
        <v>Ja</v>
      </c>
      <c r="F140" s="173">
        <f t="shared" ref="F140:F179" si="46">IF(E140="Nein",1,5)</f>
        <v>5</v>
      </c>
      <c r="G140" s="176">
        <f t="shared" si="45"/>
        <v>0.1111111111111111</v>
      </c>
    </row>
    <row r="141" spans="1:7" x14ac:dyDescent="0.45">
      <c r="A141" s="172" t="s">
        <v>39</v>
      </c>
      <c r="B141" s="214">
        <v>136</v>
      </c>
      <c r="C141" s="220" t="str">
        <f>Kontrollsysteme!C7</f>
        <v xml:space="preserve">Ein wesentlicher Bestandteil des Risikomanagements ist die zentrale Überwachung und Dokumentation der Einhaltung der europäischen Datenschutzrichtlinien und der DGSVO, z.B. durch den Datenschutzbeauftragten. </v>
      </c>
      <c r="D141" s="175">
        <f>Kontrollsysteme!B7</f>
        <v>0.1111111111111111</v>
      </c>
      <c r="E141" s="174" t="str">
        <f>Kontrollsysteme!D7</f>
        <v>Ja</v>
      </c>
      <c r="F141" s="173">
        <f t="shared" si="46"/>
        <v>5</v>
      </c>
      <c r="G141" s="176">
        <f t="shared" si="45"/>
        <v>0.1111111111111111</v>
      </c>
    </row>
    <row r="142" spans="1:7" x14ac:dyDescent="0.45">
      <c r="A142" s="172" t="s">
        <v>39</v>
      </c>
      <c r="B142" s="214">
        <v>137</v>
      </c>
      <c r="C142" s="220" t="str">
        <f>Kontrollsysteme!C8</f>
        <v>Zur Unterstützung des Datenschutzbeauftragten wurde oder wird eine Arbeitsgruppe aus den verantwortlichen Fachbereichen gebildet, die für die Umsetzung der Richtlinien verantwortlich ist.</v>
      </c>
      <c r="D142" s="175">
        <f>Kontrollsysteme!B8</f>
        <v>0.1111111111111111</v>
      </c>
      <c r="E142" s="174" t="str">
        <f>Kontrollsysteme!D8</f>
        <v>Ja</v>
      </c>
      <c r="F142" s="173">
        <f t="shared" si="46"/>
        <v>5</v>
      </c>
      <c r="G142" s="176">
        <f t="shared" si="45"/>
        <v>0.1111111111111111</v>
      </c>
    </row>
    <row r="143" spans="1:7" x14ac:dyDescent="0.45">
      <c r="A143" s="172" t="s">
        <v>39</v>
      </c>
      <c r="B143" s="214">
        <v>138</v>
      </c>
      <c r="C143" s="220" t="str">
        <f>Kontrollsysteme!C9</f>
        <v>Es gibt einen Maßnahmenkatalog, der den Datenschutzbeauftragten in die Lage versetzt, die aktuell gültigen Datenschutzbestimmungen im Unternehmen zu kontrollieren und durchzusetzen.</v>
      </c>
      <c r="D143" s="175">
        <f>Kontrollsysteme!B9</f>
        <v>0.1111111111111111</v>
      </c>
      <c r="E143" s="174" t="str">
        <f>Kontrollsysteme!D9</f>
        <v>Stimme zu</v>
      </c>
      <c r="F143" s="173">
        <f t="shared" ref="F143:F148" si="47">IF(E143="Stimme voll zu",5,(IF(E143="Stimme zu",4,(IF(E143="Weder Zustimmung noch Ablehnung",3,(IF(E143="Stimme nicht zu",2,(IF(E143="Stimme überhaupt nicht zu",1,0)))))))))</f>
        <v>4</v>
      </c>
      <c r="G143" s="176">
        <f t="shared" si="45"/>
        <v>8.8888888888888892E-2</v>
      </c>
    </row>
    <row r="144" spans="1:7" x14ac:dyDescent="0.45">
      <c r="A144" s="172" t="s">
        <v>39</v>
      </c>
      <c r="B144" s="214">
        <v>139</v>
      </c>
      <c r="C144" s="220" t="str">
        <f>Kontrollsysteme!C10</f>
        <v>Bei der Implementierung von IT-Systemen und IT-Services (einschließlich Cloud Services) werden ebenfalls Methoden des Risikomanagements eingesetzt, um der Komplexität und der damit verbundenen Fehleranfälligkeit von IT-Lösungen zu begegnen.</v>
      </c>
      <c r="D144" s="175">
        <f>Kontrollsysteme!B10</f>
        <v>0.1111111111111111</v>
      </c>
      <c r="E144" s="174" t="str">
        <f>Kontrollsysteme!D10</f>
        <v>Ja</v>
      </c>
      <c r="F144" s="173">
        <f t="shared" si="46"/>
        <v>5</v>
      </c>
      <c r="G144" s="176">
        <f t="shared" si="45"/>
        <v>0.1111111111111111</v>
      </c>
    </row>
    <row r="145" spans="1:7" x14ac:dyDescent="0.45">
      <c r="A145" s="172" t="s">
        <v>39</v>
      </c>
      <c r="B145" s="214">
        <v>140</v>
      </c>
      <c r="C145" s="220" t="str">
        <f>Kontrollsysteme!C11</f>
        <v>Aspekte des Risikomanagements werden über den gesamten Lebenszyklus von IT-Systemen oder IT- Services (einschließlich Cloud Services) berücksichtigt, d.h. 
- beginnend mit dem Konzept, 
- über die Implementierung, 
- während des Betriebes,
- bis hin zur Stilllegung des Systems.</v>
      </c>
      <c r="D145" s="175">
        <f>Kontrollsysteme!B11</f>
        <v>0.1111111111111111</v>
      </c>
      <c r="E145" s="174" t="str">
        <f>Kontrollsysteme!D11</f>
        <v>Stimme voll zu</v>
      </c>
      <c r="F145" s="173">
        <f t="shared" si="47"/>
        <v>5</v>
      </c>
      <c r="G145" s="176">
        <f t="shared" si="45"/>
        <v>0.1111111111111111</v>
      </c>
    </row>
    <row r="146" spans="1:7" x14ac:dyDescent="0.45">
      <c r="A146" s="172" t="s">
        <v>39</v>
      </c>
      <c r="B146" s="214">
        <v>141</v>
      </c>
      <c r="C146" s="220" t="str">
        <f>Kontrollsysteme!C12</f>
        <v>Zur Sicherstellung der Betriebsbereitschaft werden vor der produktiven Bereitstellung von IT-Systemen oder IT-Services (einschließlich Cloud Services) in Test- bzw. Entwicklungsumgebungen verschiedene Prüfung durchgeführt und deren Ergebnisse dokumentiert, u.a. Prüfung der 
- Konfiguration, Funktionen und Leistung (Performance / Verfügbarkeit)
- Interoperabilität, Kompatibilität und Schnittstellen,
- System- und Datenintegrität, Sicherheit und Kontrollen,
- Barrierefreiheit.</v>
      </c>
      <c r="D146" s="175">
        <f>Kontrollsysteme!B12</f>
        <v>0.1111111111111111</v>
      </c>
      <c r="E146" s="174" t="str">
        <f>Kontrollsysteme!D12</f>
        <v>Stimme zu</v>
      </c>
      <c r="F146" s="173">
        <f t="shared" si="47"/>
        <v>4</v>
      </c>
      <c r="G146" s="176">
        <f t="shared" si="45"/>
        <v>8.8888888888888892E-2</v>
      </c>
    </row>
    <row r="147" spans="1:7" x14ac:dyDescent="0.45">
      <c r="A147" s="172" t="s">
        <v>39</v>
      </c>
      <c r="B147" s="214">
        <v>142</v>
      </c>
      <c r="C147" s="220" t="str">
        <f>Kontrollsysteme!C13</f>
        <v>Die Prüfungen erfolgen anhand eines vorgegebenen Anforderungskatalogs, der regelmäßig von der IT- Organisation überprüft und im Bedarfsfall aktualisiert und freigegeben wird.</v>
      </c>
      <c r="D147" s="175">
        <f>Kontrollsysteme!B13</f>
        <v>0.1111111111111111</v>
      </c>
      <c r="E147" s="174" t="str">
        <f>Kontrollsysteme!D13</f>
        <v>Weder Zustimmung noch Ablehnung (Neutral)</v>
      </c>
      <c r="F147" s="173">
        <f t="shared" si="47"/>
        <v>0</v>
      </c>
      <c r="G147" s="176">
        <f t="shared" si="45"/>
        <v>0</v>
      </c>
    </row>
    <row r="148" spans="1:7" x14ac:dyDescent="0.45">
      <c r="A148" s="172" t="s">
        <v>39</v>
      </c>
      <c r="B148" s="214">
        <v>143</v>
      </c>
      <c r="C148" s="220" t="str">
        <f>Kontrollsysteme!C14</f>
        <v>Für festgestellte Abweichungen von den gesetzten Anforderungen werden entsprechend ihrer jeweiligen Kritikalität für den produktiven Einsatz Korrekturmaßnahmen abgeleitet bzw. Konzepte zur Risikokontrolle entwickelt und umgesetzt.</v>
      </c>
      <c r="D148" s="175">
        <f>Kontrollsysteme!B14</f>
        <v>0</v>
      </c>
      <c r="E148" s="174" t="str">
        <f>Kontrollsysteme!D14</f>
        <v>Stimme voll zu</v>
      </c>
      <c r="F148" s="173">
        <f t="shared" si="47"/>
        <v>5</v>
      </c>
      <c r="G148" s="176">
        <f t="shared" si="45"/>
        <v>0</v>
      </c>
    </row>
    <row r="149" spans="1:7" x14ac:dyDescent="0.45">
      <c r="A149" s="172" t="s">
        <v>39</v>
      </c>
      <c r="B149" s="214">
        <v>144</v>
      </c>
      <c r="C149" s="220">
        <f>Kontrollsysteme!C15</f>
        <v>0</v>
      </c>
      <c r="D149" s="175">
        <f>Kontrollsysteme!B15</f>
        <v>0</v>
      </c>
      <c r="E149" s="174" t="str">
        <f>Kontrollsysteme!D15</f>
        <v>Ja</v>
      </c>
      <c r="F149" s="173">
        <f t="shared" si="46"/>
        <v>5</v>
      </c>
      <c r="G149" s="176">
        <f t="shared" si="45"/>
        <v>0</v>
      </c>
    </row>
    <row r="150" spans="1:7" x14ac:dyDescent="0.45">
      <c r="A150" s="172" t="s">
        <v>39</v>
      </c>
      <c r="B150" s="214">
        <v>142</v>
      </c>
      <c r="C150" s="220">
        <f>Kontrollsysteme!C16</f>
        <v>0</v>
      </c>
      <c r="D150" s="175">
        <f>Kontrollsysteme!B16</f>
        <v>0</v>
      </c>
      <c r="E150" s="174" t="str">
        <f>Kontrollsysteme!D16</f>
        <v>Ja</v>
      </c>
      <c r="F150" s="173">
        <f t="shared" si="46"/>
        <v>5</v>
      </c>
      <c r="G150" s="176">
        <f t="shared" ref="G150" si="48">(F150/5)*D150</f>
        <v>0</v>
      </c>
    </row>
    <row r="151" spans="1:7" x14ac:dyDescent="0.45">
      <c r="A151" s="181" t="s">
        <v>50</v>
      </c>
      <c r="B151" s="215">
        <v>143</v>
      </c>
      <c r="C151" s="221" t="str">
        <f>Outsourcing!C5</f>
        <v>Das Unternehmen verfügt über langjährige Erfahrungen im Outsourcing von IT-Prozessen (Outtasking) bzw. bei der Nutzung von gehosteten IT-Services (einschließlich Cloud Services), z.B. 
- Housing / Co-Location Services,
- Storage Services,
- Security Services,
- Workplace Services.</v>
      </c>
      <c r="D151" s="184">
        <f>Outsourcing!B5</f>
        <v>0.14285714285714285</v>
      </c>
      <c r="E151" s="183" t="str">
        <f>Outsourcing!D5</f>
        <v>Ja</v>
      </c>
      <c r="F151" s="182">
        <f t="shared" si="46"/>
        <v>5</v>
      </c>
      <c r="G151" s="185">
        <f t="shared" si="45"/>
        <v>0.14285714285714285</v>
      </c>
    </row>
    <row r="152" spans="1:7" x14ac:dyDescent="0.45">
      <c r="A152" s="181" t="s">
        <v>50</v>
      </c>
      <c r="B152" s="215">
        <v>144</v>
      </c>
      <c r="C152" s="221" t="str">
        <f>Outsourcing!C6</f>
        <v>Die für ein Outsourcing in Frage kommenden IT-Prozesse und IT-Services wurden bereits identifiziert und im Hinblick auf folgende Aspekte dokumentiert (Lasten - / Pflichtenheft):
- Verantwortung / Zuständigkeiten für die IT-Prozesse und IT-Services (einschließlich Cloud Services), z.B. Governance- / Stakeholdereanalyse
- Relevanz und Kritikalität der IT-Prozesse und IT-Services für das Unternehmen, z.B. Schutzbedarffeststellung
- Sicherheitsanforderungen, z.B. IT-Risikoanalyse
- prozessuale Abhängigkeiten und organisatorische Schnittstellen, z.B. IT-Prozessanalyse
- technische Abhängigkeiten und Schnittstellen (CMDB), z.B. IT-Strukturanalyse</v>
      </c>
      <c r="D152" s="184">
        <f>Outsourcing!B6</f>
        <v>0.14285714285714285</v>
      </c>
      <c r="E152" s="183" t="str">
        <f>Outsourcing!D6</f>
        <v>Stimme zu</v>
      </c>
      <c r="F152" s="182">
        <f t="shared" ref="F152" si="49">IF(E152="Stimme voll zu",5,(IF(E152="Stimme zu",4,(IF(E152="Weder Zustimmung noch Ablehnung",3,(IF(E152="Stimme nicht zu",2,(IF(E152="Stimme überhaupt nicht zu",1,0)))))))))</f>
        <v>4</v>
      </c>
      <c r="G152" s="185">
        <f t="shared" si="45"/>
        <v>0.11428571428571428</v>
      </c>
    </row>
    <row r="153" spans="1:7" x14ac:dyDescent="0.45">
      <c r="A153" s="181" t="s">
        <v>50</v>
      </c>
      <c r="B153" s="215">
        <v>145</v>
      </c>
      <c r="C153" s="221" t="str">
        <f>Outsourcing!C7</f>
        <v>Die Dokumentation der IT-Prozesse und IT-Systeme bzw. IT-Services (einschließlich Cloud Services) wird regelmäßig an aktuelle Entwicklungen, z.B. neue Cloud Service-Provider, neue Cloud Services oder Änderungen bestehender Cloud Services, angepasst bzw. sinnvoll erweitert.</v>
      </c>
      <c r="D153" s="184">
        <f>Outsourcing!B7</f>
        <v>0.14285714285714285</v>
      </c>
      <c r="E153" s="183" t="str">
        <f>Outsourcing!D7</f>
        <v>Nein</v>
      </c>
      <c r="F153" s="182">
        <f t="shared" si="46"/>
        <v>1</v>
      </c>
      <c r="G153" s="185">
        <f t="shared" si="45"/>
        <v>2.8571428571428571E-2</v>
      </c>
    </row>
    <row r="154" spans="1:7" x14ac:dyDescent="0.45">
      <c r="A154" s="181" t="s">
        <v>50</v>
      </c>
      <c r="B154" s="215">
        <v>146</v>
      </c>
      <c r="C154" s="221" t="str">
        <f>Outsourcing!C8</f>
        <v>Es wurden bereits erste Cloud Services im Rahmen eines Proof of Concepts auf ihre Eignung zur Unterstützung von Geschäftsprozessen bzw. der Optimierung von IT-Prozessen und IT-Services evaluiert. Der Fokus lag hierbei auf der Verprobung von Public-Cloud Services, z.B. Microsoft Office 365 und Azure.</v>
      </c>
      <c r="D154" s="184">
        <f>Outsourcing!B8</f>
        <v>0.14285714285714285</v>
      </c>
      <c r="E154" s="183" t="str">
        <f>Outsourcing!D8</f>
        <v>Stimme voll zu</v>
      </c>
      <c r="F154" s="182">
        <f t="shared" ref="F154:F155" si="50">IF(E154="Stimme voll zu",5,(IF(E154="Stimme zu",4,(IF(E154="Weder Zustimmung noch Ablehnung",3,(IF(E154="Stimme nicht zu",2,(IF(E154="Stimme überhaupt nicht zu",1,0)))))))))</f>
        <v>5</v>
      </c>
      <c r="G154" s="185">
        <f t="shared" si="45"/>
        <v>0.14285714285714285</v>
      </c>
    </row>
    <row r="155" spans="1:7" x14ac:dyDescent="0.45">
      <c r="A155" s="181" t="s">
        <v>50</v>
      </c>
      <c r="B155" s="215">
        <v>147</v>
      </c>
      <c r="C155" s="221" t="str">
        <f>Outsourcing!C9</f>
        <v>Bei der Evaluierung wurden keine Probleme identifiziert, die der Verwendung von Cloud Services im Rahmen eines Outsourcings entgegenstehen würden, z.B. 
- gesetzliche oder branchenspezifische regulatorische Anforderungen (Datenschutz etc.),
- bestehende Lieferantenverträge (Lizenzverträge, Wartungsverträge, Garantieverträge etc.),
- vorhandene IT Infrastruktur (Netzwerke, Hard- und Software etc.),
- prozessuale Anforderungen (Kompatibilität mit bestehenden Applikationen etc.).</v>
      </c>
      <c r="D155" s="184">
        <f>Outsourcing!B9</f>
        <v>0.14285714285714285</v>
      </c>
      <c r="E155" s="183" t="str">
        <f>Outsourcing!D9</f>
        <v>Stimme zu</v>
      </c>
      <c r="F155" s="182">
        <f t="shared" si="50"/>
        <v>4</v>
      </c>
      <c r="G155" s="185">
        <f t="shared" si="45"/>
        <v>0.11428571428571428</v>
      </c>
    </row>
    <row r="156" spans="1:7" x14ac:dyDescent="0.45">
      <c r="A156" s="181" t="s">
        <v>50</v>
      </c>
      <c r="B156" s="215">
        <v>148</v>
      </c>
      <c r="C156" s="221" t="str">
        <f>Outsourcing!C10</f>
        <v xml:space="preserve">Für die aus dem Einsatz von Public-Cloud Services resultierenden Betriebsänderungen, z.B. nach der Migration frei werdenden Personalressourcen, gibt es im Bedarfsfall entsprechend mit dem Betriebsrat abgestimmte Sozialpläne. </v>
      </c>
      <c r="D156" s="184">
        <f>Outsourcing!B10</f>
        <v>0.14285714285714285</v>
      </c>
      <c r="E156" s="183" t="str">
        <f>Outsourcing!D10</f>
        <v>Ja</v>
      </c>
      <c r="F156" s="182">
        <f t="shared" si="46"/>
        <v>5</v>
      </c>
      <c r="G156" s="185">
        <f t="shared" si="45"/>
        <v>0.14285714285714285</v>
      </c>
    </row>
    <row r="157" spans="1:7" x14ac:dyDescent="0.45">
      <c r="A157" s="181" t="s">
        <v>50</v>
      </c>
      <c r="B157" s="215">
        <v>149</v>
      </c>
      <c r="C157" s="221" t="str">
        <f>Outsourcing!C11</f>
        <v>Es gibt Pläne, die mit einem Outsourcing von IT-Prozessen, IT-Systemen und IT-Services in Richtung Cloud Service-Anbieter obsolete IT-Infrastruktur nach wirtschaftlichen Gesichtspunkten einer alternativen On-Premise-Verwendung zuzuführen, sie zurückzubauen und zu verschrotten bzw. zu verkaufen.</v>
      </c>
      <c r="D157" s="184">
        <f>Outsourcing!B11</f>
        <v>0.14285714285714285</v>
      </c>
      <c r="E157" s="183" t="str">
        <f>Outsourcing!D11</f>
        <v>Ja</v>
      </c>
      <c r="F157" s="182">
        <f t="shared" si="46"/>
        <v>5</v>
      </c>
      <c r="G157" s="185">
        <f t="shared" si="45"/>
        <v>0.14285714285714285</v>
      </c>
    </row>
    <row r="158" spans="1:7" x14ac:dyDescent="0.45">
      <c r="A158" s="181" t="s">
        <v>50</v>
      </c>
      <c r="B158" s="215">
        <v>150</v>
      </c>
      <c r="C158" s="221">
        <f>Outsourcing!C12</f>
        <v>0</v>
      </c>
      <c r="D158" s="184">
        <f>Outsourcing!B12</f>
        <v>0</v>
      </c>
      <c r="E158" s="183" t="str">
        <f>Outsourcing!D12</f>
        <v>Ja</v>
      </c>
      <c r="F158" s="182">
        <f t="shared" si="46"/>
        <v>5</v>
      </c>
      <c r="G158" s="185">
        <f t="shared" si="45"/>
        <v>0</v>
      </c>
    </row>
    <row r="159" spans="1:7" x14ac:dyDescent="0.45">
      <c r="A159" s="181" t="s">
        <v>50</v>
      </c>
      <c r="B159" s="215">
        <v>151</v>
      </c>
      <c r="C159" s="221">
        <f>Outsourcing!C13</f>
        <v>0</v>
      </c>
      <c r="D159" s="184">
        <f>Outsourcing!B13</f>
        <v>0</v>
      </c>
      <c r="E159" s="183" t="str">
        <f>Outsourcing!D13</f>
        <v>Ja</v>
      </c>
      <c r="F159" s="182">
        <f t="shared" si="46"/>
        <v>5</v>
      </c>
      <c r="G159" s="185">
        <f t="shared" si="45"/>
        <v>0</v>
      </c>
    </row>
    <row r="160" spans="1:7" x14ac:dyDescent="0.45">
      <c r="A160" s="181" t="s">
        <v>40</v>
      </c>
      <c r="B160" s="215">
        <v>152</v>
      </c>
      <c r="C160" s="221" t="str">
        <f>'Lieferanten und Dienstleister'!C5</f>
        <v xml:space="preserve">Die für die Bereitstellung von Cloud Services in Frage kommenden Anbieter sind grundsätzlich allen Stakeholdern (IT, Einkauf, Management) bekannt. </v>
      </c>
      <c r="D160" s="184">
        <f>'Lieferanten und Dienstleister'!B5</f>
        <v>0.16666666666666666</v>
      </c>
      <c r="E160" s="183" t="str">
        <f>'Lieferanten und Dienstleister'!D5</f>
        <v>Ja</v>
      </c>
      <c r="F160" s="182">
        <f t="shared" si="46"/>
        <v>5</v>
      </c>
      <c r="G160" s="185">
        <f t="shared" ref="G160:G168" si="51">(F160/5)*D160</f>
        <v>0.16666666666666666</v>
      </c>
    </row>
    <row r="161" spans="1:7" x14ac:dyDescent="0.45">
      <c r="A161" s="181" t="s">
        <v>40</v>
      </c>
      <c r="B161" s="215">
        <v>153</v>
      </c>
      <c r="C161" s="221" t="str">
        <f>'Lieferanten und Dienstleister'!C6</f>
        <v>Der Auswahl der Cloud Service-Anbieter geht eine Entscheidung des Managements voraus, welche Lieferanten und Dienstleister zur strategischen Ausrichtung des Unternehmens passen und die benötigten Softwareprodukte und Dienstleistungen, sowohl im Cloud  als auch im On-Premise-Bereich, bereitstellen können.</v>
      </c>
      <c r="D161" s="184">
        <f>'Lieferanten und Dienstleister'!B6</f>
        <v>0.16666666666666666</v>
      </c>
      <c r="E161" s="183" t="str">
        <f>'Lieferanten und Dienstleister'!D6</f>
        <v>Ja</v>
      </c>
      <c r="F161" s="182">
        <f t="shared" si="46"/>
        <v>5</v>
      </c>
      <c r="G161" s="185">
        <f t="shared" si="51"/>
        <v>0.16666666666666666</v>
      </c>
    </row>
    <row r="162" spans="1:7" x14ac:dyDescent="0.45">
      <c r="A162" s="181" t="s">
        <v>40</v>
      </c>
      <c r="B162" s="215">
        <v>154</v>
      </c>
      <c r="C162" s="221" t="str">
        <f>'Lieferanten und Dienstleister'!C7</f>
        <v>Zur Bewertung verschiedener Anbieter wurde entsprechend der Ausrichtung der IT-Strategie des Unternehmens ein Kriterienkatalog erstellt, der u.a. folgende Punkte enthält:
- bereits bestehende Verträge mit dem Anbieter,
- Erfahrungen in der Zusammenarbeit mit dem Anbieter,
- verfügbare Cloud Services des Anbieters,
- strategische und technologische Eignung (Fit) der Cloud Services,
- Kosten der Cloud Services (voraussichtliche Total Cost of Ownership),
- Standorte der Rechenzentren des Anbieters,
- Ausbaukapazitäten und Skalierbarkeit der angebotenen Cloud Services,
- Cloud Strategie und Innovationsgrad des Anbieters,
- Support (lokal oder im Ausland) des Anbieters.</v>
      </c>
      <c r="D162" s="184">
        <f>'Lieferanten und Dienstleister'!B7</f>
        <v>0.16666666666666666</v>
      </c>
      <c r="E162" s="183" t="str">
        <f>'Lieferanten und Dienstleister'!D7</f>
        <v>Stimme zu</v>
      </c>
      <c r="F162" s="182">
        <f t="shared" ref="F162:F163" si="52">IF(E162="Stimme voll zu",5,(IF(E162="Stimme zu",4,(IF(E162="Weder Zustimmung noch Ablehnung",3,(IF(E162="Stimme nicht zu",2,(IF(E162="Stimme überhaupt nicht zu",1,0)))))))))</f>
        <v>4</v>
      </c>
      <c r="G162" s="185">
        <f t="shared" si="51"/>
        <v>0.13333333333333333</v>
      </c>
    </row>
    <row r="163" spans="1:7" x14ac:dyDescent="0.45">
      <c r="A163" s="181" t="s">
        <v>40</v>
      </c>
      <c r="B163" s="215">
        <v>155</v>
      </c>
      <c r="C163" s="221" t="str">
        <f>'Lieferanten und Dienstleister'!C8</f>
        <v>Basierend auf der Entscheidung, ob Cloud Services in einem Public-Cloud Modell, Hybrid-Modell oder über eine Privat-Cloud genutzt werden sollen, werden eventuelle Abhängigkeiten zu den Anbietern der Cloud Services berücksichtigt und in einer Risikoanalyse bewertet.</v>
      </c>
      <c r="D163" s="184">
        <f>'Lieferanten und Dienstleister'!B8</f>
        <v>0.16666666666666666</v>
      </c>
      <c r="E163" s="183" t="str">
        <f>'Lieferanten und Dienstleister'!D8</f>
        <v>Stimme zu</v>
      </c>
      <c r="F163" s="182">
        <f t="shared" si="52"/>
        <v>4</v>
      </c>
      <c r="G163" s="185">
        <f t="shared" si="51"/>
        <v>0.13333333333333333</v>
      </c>
    </row>
    <row r="164" spans="1:7" x14ac:dyDescent="0.45">
      <c r="A164" s="181" t="s">
        <v>40</v>
      </c>
      <c r="B164" s="215">
        <v>156</v>
      </c>
      <c r="C164" s="221" t="str">
        <f>'Lieferanten und Dienstleister'!C9</f>
        <v xml:space="preserve">Die Qualität der von Cloud Service-Anbietern erbrachten Leistungen wird über Service-Level Vereinbarungen nachgehalten. </v>
      </c>
      <c r="D164" s="184">
        <f>'Lieferanten und Dienstleister'!B9</f>
        <v>0.16666666666666666</v>
      </c>
      <c r="E164" s="183" t="str">
        <f>'Lieferanten und Dienstleister'!D9</f>
        <v>Nein</v>
      </c>
      <c r="F164" s="182">
        <f t="shared" si="46"/>
        <v>1</v>
      </c>
      <c r="G164" s="185">
        <f t="shared" si="51"/>
        <v>3.3333333333333333E-2</v>
      </c>
    </row>
    <row r="165" spans="1:7" x14ac:dyDescent="0.45">
      <c r="A165" s="181" t="s">
        <v>40</v>
      </c>
      <c r="B165" s="215">
        <v>157</v>
      </c>
      <c r="C165" s="221" t="str">
        <f>'Lieferanten und Dienstleister'!C10</f>
        <v>Strategische Cloud Service-Anbieter werden aktiv durch ein Vendoren- bzw. Providermanagement gesteuert.</v>
      </c>
      <c r="D165" s="184">
        <f>'Lieferanten und Dienstleister'!B10</f>
        <v>0.16666666666666666</v>
      </c>
      <c r="E165" s="183" t="str">
        <f>'Lieferanten und Dienstleister'!D10</f>
        <v>Nein</v>
      </c>
      <c r="F165" s="182">
        <f t="shared" si="46"/>
        <v>1</v>
      </c>
      <c r="G165" s="185">
        <f t="shared" si="51"/>
        <v>3.3333333333333333E-2</v>
      </c>
    </row>
    <row r="166" spans="1:7" x14ac:dyDescent="0.45">
      <c r="A166" s="181" t="s">
        <v>40</v>
      </c>
      <c r="B166" s="215">
        <v>158</v>
      </c>
      <c r="C166" s="221" t="str">
        <f>'Lieferanten und Dienstleister'!C11</f>
        <v>Die Steuerung umfasst u.a.
- Abstimmungen zur Strategie der Unternehmen,
- Planung und Koordination gemeinsamer Projekte,
- Abstimmung einer Service Road Map,
- Eskalation bei Schlechtleistungen.</v>
      </c>
      <c r="D166" s="184">
        <f>'Lieferanten und Dienstleister'!B11</f>
        <v>0</v>
      </c>
      <c r="E166" s="183" t="str">
        <f>'Lieferanten und Dienstleister'!D11</f>
        <v>Stimme voll zu</v>
      </c>
      <c r="F166" s="182">
        <f t="shared" ref="F166" si="53">IF(E166="Stimme voll zu",5,(IF(E166="Stimme zu",4,(IF(E166="Weder Zustimmung noch Ablehnung",3,(IF(E166="Stimme nicht zu",2,(IF(E166="Stimme überhaupt nicht zu",1,0)))))))))</f>
        <v>5</v>
      </c>
      <c r="G166" s="185">
        <f t="shared" si="51"/>
        <v>0</v>
      </c>
    </row>
    <row r="167" spans="1:7" x14ac:dyDescent="0.45">
      <c r="A167" s="181" t="s">
        <v>40</v>
      </c>
      <c r="B167" s="215">
        <v>159</v>
      </c>
      <c r="C167" s="221">
        <f>'Lieferanten und Dienstleister'!C12</f>
        <v>0</v>
      </c>
      <c r="D167" s="184">
        <f>'Lieferanten und Dienstleister'!B12</f>
        <v>0</v>
      </c>
      <c r="E167" s="183" t="str">
        <f>'Lieferanten und Dienstleister'!D12</f>
        <v>Ja</v>
      </c>
      <c r="F167" s="182">
        <f t="shared" si="46"/>
        <v>5</v>
      </c>
      <c r="G167" s="185">
        <f t="shared" si="51"/>
        <v>0</v>
      </c>
    </row>
    <row r="168" spans="1:7" x14ac:dyDescent="0.45">
      <c r="A168" s="181" t="s">
        <v>40</v>
      </c>
      <c r="B168" s="215">
        <v>160</v>
      </c>
      <c r="C168" s="221">
        <f>'Lieferanten und Dienstleister'!C13</f>
        <v>0</v>
      </c>
      <c r="D168" s="184">
        <f>'Lieferanten und Dienstleister'!B13</f>
        <v>0</v>
      </c>
      <c r="E168" s="183" t="str">
        <f>'Lieferanten und Dienstleister'!D13</f>
        <v>Ja</v>
      </c>
      <c r="F168" s="182">
        <f t="shared" si="46"/>
        <v>5</v>
      </c>
      <c r="G168" s="185">
        <f t="shared" si="51"/>
        <v>0</v>
      </c>
    </row>
    <row r="169" spans="1:7" x14ac:dyDescent="0.45">
      <c r="A169" s="181" t="s">
        <v>41</v>
      </c>
      <c r="B169" s="215">
        <v>161</v>
      </c>
      <c r="C169" s="221" t="str">
        <f>Verträge!C5</f>
        <v>Es wurde eine zentrale Stelle bzw. eine Organisationseinheit geschaffen, die Aktivitäten und Schlüsselaufgaben im Vertragsmanagement unternehmensweit abstimmt und Verträge sowie damit verbundene Dokumenten verwaltet.</v>
      </c>
      <c r="D169" s="184">
        <f>Verträge!B5</f>
        <v>0.14285714285714285</v>
      </c>
      <c r="E169" s="183" t="str">
        <f>Verträge!D5</f>
        <v>Stimme zu</v>
      </c>
      <c r="F169" s="182">
        <f t="shared" ref="F169" si="54">IF(E169="Stimme voll zu",5,(IF(E169="Stimme zu",4,(IF(E169="Weder Zustimmung noch Ablehnung",3,(IF(E169="Stimme nicht zu",2,(IF(E169="Stimme überhaupt nicht zu",1,0)))))))))</f>
        <v>4</v>
      </c>
      <c r="G169" s="185">
        <f t="shared" ref="G169:G179" si="55">(F169/5)*D169</f>
        <v>0.11428571428571428</v>
      </c>
    </row>
    <row r="170" spans="1:7" x14ac:dyDescent="0.45">
      <c r="A170" s="181" t="s">
        <v>41</v>
      </c>
      <c r="B170" s="215">
        <v>162</v>
      </c>
      <c r="C170" s="221" t="str">
        <f>Verträge!C6</f>
        <v>Das Vertragsmanagement hat Regelungen etabliert, um ein gemeinsames, abgestimmtes und zielorientiertes Vorgehen von der IT-Organisation, dem (IT-)Einkauf und der Rechtsabteilung bei der Vertragsgestaltung sicherzustellen.</v>
      </c>
      <c r="D170" s="184">
        <f>Verträge!B6</f>
        <v>0.14285714285714285</v>
      </c>
      <c r="E170" s="183" t="str">
        <f>Verträge!D6</f>
        <v>Ja</v>
      </c>
      <c r="F170" s="182">
        <f t="shared" si="46"/>
        <v>5</v>
      </c>
      <c r="G170" s="185">
        <f t="shared" si="55"/>
        <v>0.14285714285714285</v>
      </c>
    </row>
    <row r="171" spans="1:7" x14ac:dyDescent="0.45">
      <c r="A171" s="181" t="s">
        <v>41</v>
      </c>
      <c r="B171" s="215">
        <v>163</v>
      </c>
      <c r="C171" s="221" t="str">
        <f>Verträge!C7</f>
        <v>Die Aufgaben im Vertragsmanagement sind klar definiert und entsprechend auf die Organisationseinheiten des Unternehmens / Stakeholder verteilt, z.B. 
- Planung von Vertragsverhandlungen (Einkauf), 
- Abstimmung notwendiger vertraglicher Regelungen (Einkauf + IT + Rechtsabteilung), 
- Verhandlung der Verträge (Einkauf + IT + Rechtsabteilung), 
- Dokumentation und Prüfung der Verträge (Einkauf + IT + Rechtsabteilung + Lizenzmanagement), 
- Kommunikation vertraglicher Regelungen im Unternehmen (Einkauf + IT + Lizenzmanagement),
- Controlling / Monitoring der Verträge (IT-Controlling + Lizenzmanagement).</v>
      </c>
      <c r="D171" s="184">
        <f>Verträge!B7</f>
        <v>0.14285714285714285</v>
      </c>
      <c r="E171" s="183" t="str">
        <f>Verträge!D7</f>
        <v>Stimme zu</v>
      </c>
      <c r="F171" s="182">
        <f t="shared" ref="F171" si="56">IF(E171="Stimme voll zu",5,(IF(E171="Stimme zu",4,(IF(E171="Weder Zustimmung noch Ablehnung",3,(IF(E171="Stimme nicht zu",2,(IF(E171="Stimme überhaupt nicht zu",1,0)))))))))</f>
        <v>4</v>
      </c>
      <c r="G171" s="185">
        <f t="shared" si="55"/>
        <v>0.11428571428571428</v>
      </c>
    </row>
    <row r="172" spans="1:7" x14ac:dyDescent="0.45">
      <c r="A172" s="181" t="s">
        <v>41</v>
      </c>
      <c r="B172" s="215">
        <v>164</v>
      </c>
      <c r="C172" s="221" t="str">
        <f>Verträge!C8</f>
        <v>Die Einbeziehung der Organisationseinheiten / Stakeholder in das Vertragsmanagement wird zentral koordiniert.</v>
      </c>
      <c r="D172" s="184">
        <f>Verträge!B8</f>
        <v>0.14285714285714285</v>
      </c>
      <c r="E172" s="183" t="str">
        <f>Verträge!D8</f>
        <v>Ja</v>
      </c>
      <c r="F172" s="182">
        <f t="shared" si="46"/>
        <v>5</v>
      </c>
      <c r="G172" s="185">
        <f t="shared" si="55"/>
        <v>0.14285714285714285</v>
      </c>
    </row>
    <row r="173" spans="1:7" x14ac:dyDescent="0.45">
      <c r="A173" s="181" t="s">
        <v>41</v>
      </c>
      <c r="B173" s="215">
        <v>165</v>
      </c>
      <c r="C173" s="221" t="str">
        <f>Verträge!C9</f>
        <v>Es existieren Kriterienkataloge, die Organisationseinheiten für die Überprüfung von Verträgen für Cloud Services heranziehen müssen.</v>
      </c>
      <c r="D173" s="184">
        <f>Verträge!B9</f>
        <v>0.14285714285714285</v>
      </c>
      <c r="E173" s="183" t="str">
        <f>Verträge!D9</f>
        <v>Nein</v>
      </c>
      <c r="F173" s="182">
        <f t="shared" si="46"/>
        <v>1</v>
      </c>
      <c r="G173" s="185">
        <f t="shared" si="55"/>
        <v>2.8571428571428571E-2</v>
      </c>
    </row>
    <row r="174" spans="1:7" x14ac:dyDescent="0.45">
      <c r="A174" s="181" t="s">
        <v>41</v>
      </c>
      <c r="B174" s="215">
        <v>166</v>
      </c>
      <c r="C174" s="221" t="str">
        <f>Verträge!C10</f>
        <v>Die Kriterienkataloge enthalten u.a. Vorgaben für
- die Bewertung von Rahmendaten (z.B. Vertragslaufzeit, Vertragsparteien, Vertragsvolumen)
- die Bewertung möglicher Risiken (z.B. Dokumentationspflichten, Kündigungsregeln)
- die Bewertung zu vereinbarender Leistungen (z.B. Qualität, Kosten)
- die Bewertung der Dienstleister (z.B. Größe, Standorte, Referenzprojekte)</v>
      </c>
      <c r="D174" s="184">
        <f>Verträge!B10</f>
        <v>0</v>
      </c>
      <c r="E174" s="183" t="str">
        <f>Verträge!D10</f>
        <v>Stimme voll zu</v>
      </c>
      <c r="F174" s="182">
        <f t="shared" ref="F174" si="57">IF(E174="Stimme voll zu",5,(IF(E174="Stimme zu",4,(IF(E174="Weder Zustimmung noch Ablehnung",3,(IF(E174="Stimme nicht zu",2,(IF(E174="Stimme überhaupt nicht zu",1,0)))))))))</f>
        <v>5</v>
      </c>
      <c r="G174" s="185">
        <f t="shared" si="55"/>
        <v>0</v>
      </c>
    </row>
    <row r="175" spans="1:7" x14ac:dyDescent="0.45">
      <c r="A175" s="181" t="s">
        <v>41</v>
      </c>
      <c r="B175" s="215">
        <v>167</v>
      </c>
      <c r="C175" s="221" t="str">
        <f>Verträge!C11</f>
        <v>Kritische Punkte werden von allen Organisationseinheiten bewertet und Entscheidungen fließen in die Verhandlung mit Anbietern für Cloud Services ein.</v>
      </c>
      <c r="D175" s="184">
        <f>Verträge!B11</f>
        <v>0</v>
      </c>
      <c r="E175" s="183" t="str">
        <f>Verträge!D11</f>
        <v>Ja</v>
      </c>
      <c r="F175" s="182">
        <f t="shared" si="46"/>
        <v>5</v>
      </c>
      <c r="G175" s="185">
        <f t="shared" si="55"/>
        <v>0</v>
      </c>
    </row>
    <row r="176" spans="1:7" x14ac:dyDescent="0.45">
      <c r="A176" s="181" t="s">
        <v>41</v>
      </c>
      <c r="B176" s="215">
        <v>168</v>
      </c>
      <c r="C176" s="221" t="str">
        <f>Verträge!C12</f>
        <v>Bei der Ausgestaltung von Verträgen werden Ergebnisse aus Cloud Evaluierungsprojekten und Anforderungen aus dem Lizenzmanagement berücksichtigt. Dies umfasst u.a.
- Überleitung von On Premise Lizenzen, z.B. über Add-Ons, Rabatte,
- Migrationszeiträume, z.B. bei Lizenzverträgen mit Standardisierungsanforderungen,
- erweiterte Nutzungsrechte für Cloud Services, z.B. On Premise Nutzungsrechte für nicht migrierbare Applikationen,
- Unterstützungsleistungen seitens des Anbieters von Cloud Services, z.B. Begleitung technischer Workshops.</v>
      </c>
      <c r="D176" s="184">
        <f>Verträge!B12</f>
        <v>0.14285714285714285</v>
      </c>
      <c r="E176" s="183" t="str">
        <f>Verträge!D12</f>
        <v>Stimme voll zu</v>
      </c>
      <c r="F176" s="182">
        <f t="shared" ref="F176" si="58">IF(E176="Stimme voll zu",5,(IF(E176="Stimme zu",4,(IF(E176="Weder Zustimmung noch Ablehnung",3,(IF(E176="Stimme nicht zu",2,(IF(E176="Stimme überhaupt nicht zu",1,0)))))))))</f>
        <v>5</v>
      </c>
      <c r="G176" s="185">
        <f t="shared" si="55"/>
        <v>0.14285714285714285</v>
      </c>
    </row>
    <row r="177" spans="1:7" x14ac:dyDescent="0.45">
      <c r="A177" s="181" t="s">
        <v>41</v>
      </c>
      <c r="B177" s="215">
        <v>169</v>
      </c>
      <c r="C177" s="221" t="str">
        <f>Verträge!C13</f>
        <v>Die aktiven Lizenz- und Wartungsverträge mit strategischen Softwarelieferanten / Cloud Service Anbietern stehen innerhalb der nächsten 6 bis 12 Monate zur Verlängerung oder Neuverhandlung an bzw. die Verhandlungen laufen bereits.</v>
      </c>
      <c r="D177" s="184">
        <f>Verträge!B13</f>
        <v>0.14285714285714285</v>
      </c>
      <c r="E177" s="183" t="str">
        <f>Verträge!D13</f>
        <v>Ja</v>
      </c>
      <c r="F177" s="182">
        <f t="shared" si="46"/>
        <v>5</v>
      </c>
      <c r="G177" s="185">
        <f t="shared" si="55"/>
        <v>0.14285714285714285</v>
      </c>
    </row>
    <row r="178" spans="1:7" x14ac:dyDescent="0.45">
      <c r="A178" s="181" t="s">
        <v>41</v>
      </c>
      <c r="B178" s="215">
        <v>170</v>
      </c>
      <c r="C178" s="221">
        <f>Verträge!C14</f>
        <v>0</v>
      </c>
      <c r="D178" s="184">
        <f>Verträge!B14</f>
        <v>0</v>
      </c>
      <c r="E178" s="183" t="str">
        <f>Verträge!D14</f>
        <v>Ja</v>
      </c>
      <c r="F178" s="182">
        <f t="shared" si="46"/>
        <v>5</v>
      </c>
      <c r="G178" s="185">
        <f t="shared" si="55"/>
        <v>0</v>
      </c>
    </row>
    <row r="179" spans="1:7" x14ac:dyDescent="0.45">
      <c r="A179" s="181" t="s">
        <v>41</v>
      </c>
      <c r="B179" s="215">
        <v>171</v>
      </c>
      <c r="C179" s="221">
        <f>Verträge!C15</f>
        <v>0</v>
      </c>
      <c r="D179" s="184">
        <f>Verträge!B15</f>
        <v>0</v>
      </c>
      <c r="E179" s="183" t="str">
        <f>Verträge!D15</f>
        <v>Ja</v>
      </c>
      <c r="F179" s="182">
        <f t="shared" si="46"/>
        <v>5</v>
      </c>
      <c r="G179" s="185">
        <f t="shared" si="55"/>
        <v>0</v>
      </c>
    </row>
  </sheetData>
  <autoFilter ref="A1:G179" xr:uid="{00000000-0009-0000-0000-000006000000}"/>
  <pageMargins left="0.39370078740157483" right="0.39370078740157483" top="0.78740157480314965" bottom="0.59055118110236227" header="0.11811023622047245" footer="0.11811023622047245"/>
  <pageSetup paperSize="9" scale="75" orientation="landscape" r:id="rId1"/>
  <headerFooter>
    <oddHeader xml:space="preserve">&amp;L&amp;G
&amp;C&amp;14
&amp;16&amp;A&amp;R
&amp;G </oddHeader>
    <oddFooter>&amp;L&amp;F&amp;C&amp;P von &amp;N&amp;R&amp;D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tabColor theme="2" tint="-0.499984740745262"/>
    <pageSetUpPr fitToPage="1"/>
  </sheetPr>
  <dimension ref="A1:AI37"/>
  <sheetViews>
    <sheetView view="pageBreakPreview" topLeftCell="H2" zoomScaleNormal="100" zoomScaleSheetLayoutView="100" workbookViewId="0">
      <selection activeCell="AB5" sqref="AB5:AH5"/>
    </sheetView>
  </sheetViews>
  <sheetFormatPr baseColWidth="10" defaultColWidth="9.1328125" defaultRowHeight="14.25" customHeight="1" x14ac:dyDescent="0.45"/>
  <cols>
    <col min="1" max="8" width="7.73046875" style="243" customWidth="1"/>
    <col min="9" max="9" width="3.265625" style="243" customWidth="1"/>
    <col min="10" max="17" width="7.73046875" style="243" customWidth="1"/>
    <col min="18" max="18" width="3.265625" style="243" customWidth="1"/>
    <col min="19" max="26" width="7.73046875" style="243" customWidth="1"/>
    <col min="27" max="27" width="3.265625" style="243" customWidth="1"/>
    <col min="28" max="16384" width="9.1328125" style="243"/>
  </cols>
  <sheetData>
    <row r="1" spans="1:35" s="233" customFormat="1" ht="15.75" x14ac:dyDescent="0.5">
      <c r="A1" s="229" t="s">
        <v>190</v>
      </c>
      <c r="B1" s="230"/>
      <c r="C1" s="231"/>
      <c r="D1" s="232"/>
      <c r="E1" s="232"/>
      <c r="F1" s="232"/>
      <c r="G1" s="232"/>
      <c r="H1" s="232"/>
      <c r="I1" s="232"/>
      <c r="J1" s="231"/>
      <c r="K1" s="231"/>
      <c r="L1" s="231"/>
      <c r="M1" s="231"/>
      <c r="N1" s="231"/>
      <c r="O1" s="231"/>
      <c r="P1" s="231"/>
      <c r="Q1" s="231"/>
      <c r="R1" s="231"/>
      <c r="S1" s="231"/>
      <c r="T1" s="231"/>
      <c r="U1" s="231"/>
      <c r="V1" s="231"/>
      <c r="W1" s="231"/>
      <c r="X1" s="231"/>
      <c r="Y1" s="231"/>
      <c r="Z1" s="231"/>
      <c r="AA1" s="231"/>
      <c r="AB1" s="231"/>
      <c r="AC1" s="231"/>
      <c r="AD1" s="231"/>
      <c r="AE1" s="231"/>
      <c r="AF1" s="231"/>
      <c r="AG1" s="231"/>
      <c r="AH1" s="231"/>
    </row>
    <row r="2" spans="1:35" s="236" customFormat="1" x14ac:dyDescent="0.45">
      <c r="A2" s="234"/>
      <c r="B2" s="234"/>
      <c r="C2" s="234"/>
      <c r="D2" s="234"/>
      <c r="E2" s="234"/>
      <c r="F2" s="234"/>
      <c r="G2" s="235"/>
      <c r="H2" s="235"/>
      <c r="I2" s="235"/>
      <c r="J2" s="235"/>
      <c r="K2" s="235"/>
      <c r="L2" s="235"/>
      <c r="M2" s="235"/>
      <c r="N2" s="235"/>
      <c r="O2" s="235"/>
      <c r="P2" s="235"/>
      <c r="Q2" s="235"/>
      <c r="S2" s="235"/>
      <c r="T2" s="235"/>
      <c r="U2" s="235"/>
      <c r="V2" s="235"/>
      <c r="W2" s="235"/>
      <c r="X2" s="235"/>
      <c r="Y2" s="235"/>
      <c r="Z2" s="235"/>
      <c r="AA2" s="235"/>
      <c r="AB2" s="235"/>
      <c r="AC2" s="235"/>
      <c r="AD2" s="235"/>
      <c r="AE2" s="235"/>
      <c r="AF2" s="235"/>
      <c r="AG2" s="235"/>
      <c r="AH2" s="235"/>
    </row>
    <row r="3" spans="1:35" s="241" customFormat="1" ht="13.15" x14ac:dyDescent="0.4">
      <c r="A3" s="237" t="s">
        <v>0</v>
      </c>
      <c r="B3" s="238"/>
      <c r="C3" s="238"/>
      <c r="D3" s="238"/>
      <c r="E3" s="239"/>
      <c r="F3" s="239"/>
      <c r="G3" s="239"/>
      <c r="H3" s="239"/>
      <c r="I3" s="239"/>
      <c r="J3" s="239"/>
      <c r="K3" s="239"/>
      <c r="L3" s="239"/>
      <c r="M3" s="239"/>
      <c r="N3" s="239"/>
      <c r="O3" s="239"/>
      <c r="P3" s="239"/>
      <c r="Q3" s="239"/>
      <c r="R3" s="239"/>
      <c r="S3" s="239"/>
      <c r="T3" s="239"/>
      <c r="U3" s="239"/>
      <c r="V3" s="239"/>
      <c r="W3" s="239"/>
      <c r="X3" s="239"/>
      <c r="Y3" s="239"/>
      <c r="Z3" s="239"/>
      <c r="AA3" s="239"/>
      <c r="AB3" s="239"/>
      <c r="AC3" s="239"/>
      <c r="AD3" s="239"/>
      <c r="AE3" s="239"/>
      <c r="AF3" s="239"/>
      <c r="AG3" s="239"/>
      <c r="AH3" s="240"/>
    </row>
    <row r="4" spans="1:35" s="242" customFormat="1" ht="13.15" x14ac:dyDescent="0.4">
      <c r="A4" s="293"/>
      <c r="B4" s="294"/>
      <c r="C4" s="294"/>
      <c r="D4" s="295"/>
      <c r="E4" s="295"/>
      <c r="F4" s="295"/>
      <c r="G4" s="295"/>
      <c r="H4" s="295"/>
      <c r="I4" s="295"/>
      <c r="J4" s="295"/>
      <c r="K4" s="295"/>
      <c r="L4" s="295"/>
      <c r="M4" s="295"/>
      <c r="N4" s="295"/>
      <c r="O4" s="295"/>
      <c r="P4" s="295"/>
      <c r="Q4" s="295"/>
      <c r="R4" s="296"/>
      <c r="S4" s="295"/>
      <c r="T4" s="295"/>
      <c r="U4" s="295"/>
      <c r="V4" s="295"/>
      <c r="W4" s="295"/>
      <c r="X4" s="295"/>
      <c r="Y4" s="295"/>
      <c r="Z4" s="295"/>
      <c r="AA4" s="295"/>
      <c r="AB4" s="295"/>
      <c r="AC4" s="295"/>
      <c r="AD4" s="295"/>
      <c r="AE4" s="295"/>
      <c r="AF4" s="295"/>
      <c r="AG4" s="295"/>
      <c r="AH4" s="297"/>
    </row>
    <row r="5" spans="1:35" ht="21" x14ac:dyDescent="0.65">
      <c r="A5" s="353" t="s">
        <v>52</v>
      </c>
      <c r="B5" s="351"/>
      <c r="C5" s="351"/>
      <c r="D5" s="351"/>
      <c r="E5" s="351"/>
      <c r="F5" s="351"/>
      <c r="G5" s="351"/>
      <c r="H5" s="351"/>
      <c r="I5" s="234"/>
      <c r="J5" s="351" t="s">
        <v>54</v>
      </c>
      <c r="K5" s="351"/>
      <c r="L5" s="351"/>
      <c r="M5" s="351"/>
      <c r="N5" s="351"/>
      <c r="O5" s="351"/>
      <c r="P5" s="351"/>
      <c r="Q5" s="351"/>
      <c r="R5" s="234"/>
      <c r="S5" s="351" t="s">
        <v>56</v>
      </c>
      <c r="T5" s="351"/>
      <c r="U5" s="351"/>
      <c r="V5" s="351"/>
      <c r="W5" s="351"/>
      <c r="X5" s="351"/>
      <c r="Y5" s="351"/>
      <c r="Z5" s="351"/>
      <c r="AA5" s="285"/>
      <c r="AB5" s="351" t="s">
        <v>58</v>
      </c>
      <c r="AC5" s="351"/>
      <c r="AD5" s="351"/>
      <c r="AE5" s="351"/>
      <c r="AF5" s="351"/>
      <c r="AG5" s="351"/>
      <c r="AH5" s="352"/>
      <c r="AI5" s="252"/>
    </row>
    <row r="6" spans="1:35" x14ac:dyDescent="0.45">
      <c r="A6" s="286"/>
      <c r="B6" s="234"/>
      <c r="C6" s="234"/>
      <c r="D6" s="234"/>
      <c r="E6" s="234"/>
      <c r="F6" s="234"/>
      <c r="G6" s="234"/>
      <c r="H6" s="234"/>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87"/>
    </row>
    <row r="7" spans="1:35" x14ac:dyDescent="0.45">
      <c r="A7" s="286"/>
      <c r="B7" s="234"/>
      <c r="C7" s="234"/>
      <c r="D7" s="234"/>
      <c r="E7" s="234"/>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87"/>
    </row>
    <row r="8" spans="1:35" x14ac:dyDescent="0.45">
      <c r="A8" s="286"/>
      <c r="B8" s="234"/>
      <c r="C8" s="234"/>
      <c r="D8" s="234"/>
      <c r="E8" s="234"/>
      <c r="F8" s="234"/>
      <c r="G8" s="234"/>
      <c r="H8" s="234"/>
      <c r="I8" s="234"/>
      <c r="J8" s="234"/>
      <c r="K8" s="234"/>
      <c r="L8" s="234"/>
      <c r="M8" s="234"/>
      <c r="N8" s="234"/>
      <c r="O8" s="234"/>
      <c r="P8" s="234"/>
      <c r="Q8" s="234"/>
      <c r="R8" s="234"/>
      <c r="S8" s="234"/>
      <c r="T8" s="234"/>
      <c r="U8" s="234"/>
      <c r="V8" s="234"/>
      <c r="W8" s="234"/>
      <c r="X8" s="234"/>
      <c r="Y8" s="234"/>
      <c r="Z8" s="234"/>
      <c r="AA8" s="234"/>
      <c r="AB8" s="234"/>
      <c r="AC8" s="234"/>
      <c r="AD8" s="234"/>
      <c r="AE8" s="234"/>
      <c r="AF8" s="234"/>
      <c r="AG8" s="234"/>
      <c r="AH8" s="287"/>
    </row>
    <row r="9" spans="1:35" x14ac:dyDescent="0.45">
      <c r="A9" s="286"/>
      <c r="B9" s="234"/>
      <c r="C9" s="234"/>
      <c r="D9" s="234"/>
      <c r="E9" s="234"/>
      <c r="F9" s="234"/>
      <c r="G9" s="234"/>
      <c r="H9" s="234"/>
      <c r="I9" s="234"/>
      <c r="J9" s="234"/>
      <c r="K9" s="234"/>
      <c r="L9" s="234"/>
      <c r="M9" s="234"/>
      <c r="N9" s="234"/>
      <c r="O9" s="234"/>
      <c r="P9" s="234"/>
      <c r="Q9" s="234"/>
      <c r="R9" s="234"/>
      <c r="S9" s="234"/>
      <c r="T9" s="234"/>
      <c r="U9" s="234"/>
      <c r="V9" s="234"/>
      <c r="W9" s="234"/>
      <c r="X9" s="234"/>
      <c r="Y9" s="234"/>
      <c r="Z9" s="234"/>
      <c r="AA9" s="234"/>
      <c r="AB9" s="234"/>
      <c r="AC9" s="234"/>
      <c r="AD9" s="234"/>
      <c r="AE9" s="234"/>
      <c r="AF9" s="234"/>
      <c r="AG9" s="234"/>
      <c r="AH9" s="287"/>
    </row>
    <row r="10" spans="1:35" x14ac:dyDescent="0.45">
      <c r="A10" s="286"/>
      <c r="B10" s="234"/>
      <c r="C10" s="234"/>
      <c r="D10" s="234"/>
      <c r="E10" s="234"/>
      <c r="F10" s="234"/>
      <c r="G10" s="234"/>
      <c r="H10" s="234"/>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87"/>
    </row>
    <row r="11" spans="1:35" x14ac:dyDescent="0.45">
      <c r="A11" s="286"/>
      <c r="B11" s="234"/>
      <c r="C11" s="234"/>
      <c r="D11" s="234"/>
      <c r="E11" s="234"/>
      <c r="F11" s="234"/>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87"/>
    </row>
    <row r="12" spans="1:35" x14ac:dyDescent="0.45">
      <c r="A12" s="286"/>
      <c r="B12" s="234"/>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87"/>
    </row>
    <row r="13" spans="1:35" x14ac:dyDescent="0.45">
      <c r="A13" s="286"/>
      <c r="B13" s="234"/>
      <c r="C13" s="234"/>
      <c r="D13" s="234"/>
      <c r="E13" s="234"/>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87"/>
    </row>
    <row r="14" spans="1:35" x14ac:dyDescent="0.45">
      <c r="A14" s="286"/>
      <c r="B14" s="234"/>
      <c r="C14" s="234"/>
      <c r="D14" s="234"/>
      <c r="E14" s="234"/>
      <c r="F14" s="234"/>
      <c r="G14" s="234"/>
      <c r="H14" s="234"/>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87"/>
    </row>
    <row r="15" spans="1:35" x14ac:dyDescent="0.45">
      <c r="A15" s="286"/>
      <c r="B15" s="234"/>
      <c r="C15" s="234"/>
      <c r="D15" s="234"/>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87"/>
    </row>
    <row r="16" spans="1:35" x14ac:dyDescent="0.45">
      <c r="A16" s="286"/>
      <c r="B16" s="234"/>
      <c r="C16" s="234"/>
      <c r="D16" s="234"/>
      <c r="E16" s="234"/>
      <c r="F16" s="234"/>
      <c r="G16" s="234"/>
      <c r="H16" s="234"/>
      <c r="I16" s="234"/>
      <c r="J16" s="234"/>
      <c r="K16" s="234"/>
      <c r="L16" s="234"/>
      <c r="M16" s="234"/>
      <c r="N16" s="234"/>
      <c r="O16" s="234"/>
      <c r="P16" s="234"/>
      <c r="Q16" s="234"/>
      <c r="R16" s="234"/>
      <c r="S16" s="234"/>
      <c r="T16" s="234"/>
      <c r="U16" s="234"/>
      <c r="V16" s="234"/>
      <c r="W16" s="234"/>
      <c r="X16" s="234"/>
      <c r="Y16" s="234"/>
      <c r="Z16" s="234"/>
      <c r="AA16" s="234"/>
      <c r="AB16" s="234"/>
      <c r="AC16" s="234"/>
      <c r="AD16" s="234"/>
      <c r="AE16" s="234"/>
      <c r="AF16" s="234"/>
      <c r="AG16" s="234"/>
      <c r="AH16" s="287"/>
    </row>
    <row r="17" spans="1:34" x14ac:dyDescent="0.45">
      <c r="A17" s="286"/>
      <c r="B17" s="234"/>
      <c r="C17" s="234"/>
      <c r="D17" s="234"/>
      <c r="E17" s="234"/>
      <c r="F17" s="234"/>
      <c r="G17" s="234"/>
      <c r="H17" s="234"/>
      <c r="I17" s="234"/>
      <c r="J17" s="234"/>
      <c r="K17" s="234"/>
      <c r="L17" s="234"/>
      <c r="M17" s="234"/>
      <c r="N17" s="234"/>
      <c r="O17" s="234"/>
      <c r="P17" s="234"/>
      <c r="Q17" s="234"/>
      <c r="R17" s="234"/>
      <c r="S17" s="234"/>
      <c r="T17" s="234"/>
      <c r="U17" s="234"/>
      <c r="V17" s="234"/>
      <c r="W17" s="234"/>
      <c r="X17" s="234"/>
      <c r="Y17" s="234"/>
      <c r="Z17" s="234"/>
      <c r="AA17" s="234"/>
      <c r="AB17" s="234"/>
      <c r="AC17" s="234"/>
      <c r="AD17" s="234"/>
      <c r="AE17" s="234"/>
      <c r="AF17" s="234"/>
      <c r="AG17" s="234"/>
      <c r="AH17" s="287"/>
    </row>
    <row r="18" spans="1:34" x14ac:dyDescent="0.45">
      <c r="A18" s="286"/>
      <c r="B18" s="234"/>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4"/>
      <c r="AD18" s="234"/>
      <c r="AE18" s="234"/>
      <c r="AF18" s="234"/>
      <c r="AG18" s="234"/>
      <c r="AH18" s="287"/>
    </row>
    <row r="19" spans="1:34" x14ac:dyDescent="0.45">
      <c r="A19" s="286"/>
      <c r="B19" s="234"/>
      <c r="C19" s="234"/>
      <c r="D19" s="234"/>
      <c r="E19" s="234"/>
      <c r="F19" s="234"/>
      <c r="G19" s="234"/>
      <c r="H19" s="234"/>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87"/>
    </row>
    <row r="20" spans="1:34" x14ac:dyDescent="0.45">
      <c r="A20" s="286"/>
      <c r="B20" s="234"/>
      <c r="C20" s="234"/>
      <c r="D20" s="234"/>
      <c r="E20" s="234"/>
      <c r="F20" s="234"/>
      <c r="G20" s="234"/>
      <c r="H20" s="234"/>
      <c r="I20" s="234"/>
      <c r="J20" s="234"/>
      <c r="K20" s="234"/>
      <c r="L20" s="234"/>
      <c r="M20" s="234"/>
      <c r="N20" s="234"/>
      <c r="O20" s="234"/>
      <c r="P20" s="234"/>
      <c r="Q20" s="234"/>
      <c r="R20" s="234"/>
      <c r="S20" s="234"/>
      <c r="T20" s="234"/>
      <c r="U20" s="234"/>
      <c r="V20" s="234"/>
      <c r="W20" s="234"/>
      <c r="X20" s="234"/>
      <c r="Y20" s="234"/>
      <c r="Z20" s="234"/>
      <c r="AA20" s="234"/>
      <c r="AB20" s="234"/>
      <c r="AC20" s="234"/>
      <c r="AD20" s="234"/>
      <c r="AE20" s="234"/>
      <c r="AF20" s="234"/>
      <c r="AG20" s="234"/>
      <c r="AH20" s="287"/>
    </row>
    <row r="21" spans="1:34" ht="21" x14ac:dyDescent="0.65">
      <c r="A21" s="353" t="s">
        <v>53</v>
      </c>
      <c r="B21" s="351"/>
      <c r="C21" s="351"/>
      <c r="D21" s="351"/>
      <c r="E21" s="351"/>
      <c r="F21" s="351"/>
      <c r="G21" s="351"/>
      <c r="H21" s="351"/>
      <c r="I21" s="234"/>
      <c r="J21" s="354" t="s">
        <v>55</v>
      </c>
      <c r="K21" s="354"/>
      <c r="L21" s="354"/>
      <c r="M21" s="354"/>
      <c r="N21" s="354"/>
      <c r="O21" s="354"/>
      <c r="P21" s="354"/>
      <c r="Q21" s="354"/>
      <c r="R21" s="288"/>
      <c r="S21" s="354" t="s">
        <v>57</v>
      </c>
      <c r="T21" s="354"/>
      <c r="U21" s="354"/>
      <c r="V21" s="354"/>
      <c r="W21" s="354"/>
      <c r="X21" s="354"/>
      <c r="Y21" s="354"/>
      <c r="Z21" s="354"/>
      <c r="AA21" s="289"/>
      <c r="AB21" s="234"/>
      <c r="AC21" s="234"/>
      <c r="AD21" s="234"/>
      <c r="AE21" s="234"/>
      <c r="AF21" s="234"/>
      <c r="AG21" s="234"/>
      <c r="AH21" s="287"/>
    </row>
    <row r="22" spans="1:34" x14ac:dyDescent="0.45">
      <c r="A22" s="286"/>
      <c r="B22" s="234"/>
      <c r="C22" s="234"/>
      <c r="D22" s="234"/>
      <c r="E22" s="234"/>
      <c r="F22" s="234"/>
      <c r="G22" s="234"/>
      <c r="H22" s="234"/>
      <c r="I22" s="234"/>
      <c r="J22" s="234"/>
      <c r="K22" s="234"/>
      <c r="L22" s="234"/>
      <c r="M22" s="234"/>
      <c r="N22" s="234"/>
      <c r="O22" s="234"/>
      <c r="P22" s="234"/>
      <c r="Q22" s="234"/>
      <c r="R22" s="234"/>
      <c r="S22" s="234"/>
      <c r="T22" s="234"/>
      <c r="U22" s="234"/>
      <c r="V22" s="234"/>
      <c r="W22" s="234"/>
      <c r="X22" s="234"/>
      <c r="Y22" s="234"/>
      <c r="Z22" s="234"/>
      <c r="AA22" s="234"/>
      <c r="AB22" s="234"/>
      <c r="AC22" s="234"/>
      <c r="AD22" s="234"/>
      <c r="AE22" s="234"/>
      <c r="AF22" s="234"/>
      <c r="AG22" s="234"/>
      <c r="AH22" s="287"/>
    </row>
    <row r="23" spans="1:34" x14ac:dyDescent="0.45">
      <c r="A23" s="286"/>
      <c r="B23" s="234"/>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87"/>
    </row>
    <row r="24" spans="1:34" x14ac:dyDescent="0.45">
      <c r="A24" s="286"/>
      <c r="B24" s="234"/>
      <c r="C24" s="234"/>
      <c r="D24" s="234"/>
      <c r="E24" s="234"/>
      <c r="F24" s="234"/>
      <c r="G24" s="234"/>
      <c r="H24" s="234"/>
      <c r="I24" s="234"/>
      <c r="J24" s="234"/>
      <c r="K24" s="234"/>
      <c r="L24" s="234"/>
      <c r="M24" s="234"/>
      <c r="N24" s="234"/>
      <c r="O24" s="234"/>
      <c r="P24" s="234"/>
      <c r="Q24" s="234"/>
      <c r="R24" s="234"/>
      <c r="S24" s="234"/>
      <c r="T24" s="234"/>
      <c r="U24" s="234"/>
      <c r="V24" s="234"/>
      <c r="W24" s="234"/>
      <c r="X24" s="234"/>
      <c r="Y24" s="234"/>
      <c r="Z24" s="234"/>
      <c r="AA24" s="234"/>
      <c r="AB24" s="234"/>
      <c r="AC24" s="234"/>
      <c r="AD24" s="234"/>
      <c r="AE24" s="234"/>
      <c r="AF24" s="234"/>
      <c r="AG24" s="234"/>
      <c r="AH24" s="287"/>
    </row>
    <row r="25" spans="1:34" x14ac:dyDescent="0.45">
      <c r="A25" s="286"/>
      <c r="B25" s="234"/>
      <c r="C25" s="234"/>
      <c r="D25" s="234"/>
      <c r="E25" s="234"/>
      <c r="F25" s="234"/>
      <c r="G25" s="234"/>
      <c r="H25" s="234"/>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87"/>
    </row>
    <row r="26" spans="1:34" x14ac:dyDescent="0.45">
      <c r="A26" s="286"/>
      <c r="B26" s="234"/>
      <c r="C26" s="234"/>
      <c r="D26" s="234"/>
      <c r="E26" s="234"/>
      <c r="F26" s="234"/>
      <c r="G26" s="234"/>
      <c r="H26" s="234"/>
      <c r="I26" s="234"/>
      <c r="J26" s="234"/>
      <c r="K26" s="234"/>
      <c r="L26" s="234"/>
      <c r="M26" s="234"/>
      <c r="N26" s="234"/>
      <c r="O26" s="234"/>
      <c r="P26" s="234"/>
      <c r="Q26" s="234"/>
      <c r="R26" s="234"/>
      <c r="S26" s="234"/>
      <c r="T26" s="234"/>
      <c r="U26" s="234"/>
      <c r="V26" s="234"/>
      <c r="W26" s="234"/>
      <c r="X26" s="234"/>
      <c r="Y26" s="234"/>
      <c r="Z26" s="234"/>
      <c r="AA26" s="234"/>
      <c r="AB26" s="234"/>
      <c r="AC26" s="234"/>
      <c r="AD26" s="234"/>
      <c r="AE26" s="234"/>
      <c r="AF26" s="234"/>
      <c r="AG26" s="234"/>
      <c r="AH26" s="287"/>
    </row>
    <row r="27" spans="1:34" x14ac:dyDescent="0.45">
      <c r="A27" s="286"/>
      <c r="B27" s="234"/>
      <c r="C27" s="234"/>
      <c r="D27" s="234"/>
      <c r="E27" s="234"/>
      <c r="F27" s="234"/>
      <c r="G27" s="234"/>
      <c r="H27" s="234"/>
      <c r="I27" s="234"/>
      <c r="J27" s="234"/>
      <c r="K27" s="234"/>
      <c r="L27" s="234"/>
      <c r="M27" s="234"/>
      <c r="N27" s="234"/>
      <c r="O27" s="234"/>
      <c r="P27" s="234"/>
      <c r="Q27" s="234"/>
      <c r="R27" s="234"/>
      <c r="S27" s="234"/>
      <c r="T27" s="234"/>
      <c r="U27" s="234"/>
      <c r="V27" s="234"/>
      <c r="W27" s="234"/>
      <c r="X27" s="234"/>
      <c r="Y27" s="234"/>
      <c r="Z27" s="234"/>
      <c r="AA27" s="234"/>
      <c r="AB27" s="234"/>
      <c r="AC27" s="234"/>
      <c r="AD27" s="234"/>
      <c r="AE27" s="234"/>
      <c r="AF27" s="234"/>
      <c r="AG27" s="234"/>
      <c r="AH27" s="287"/>
    </row>
    <row r="28" spans="1:34" x14ac:dyDescent="0.45">
      <c r="A28" s="286"/>
      <c r="B28" s="234"/>
      <c r="C28" s="234"/>
      <c r="D28" s="234"/>
      <c r="E28" s="234"/>
      <c r="F28" s="234"/>
      <c r="G28" s="234"/>
      <c r="H28" s="234"/>
      <c r="I28" s="234"/>
      <c r="J28" s="234"/>
      <c r="K28" s="234"/>
      <c r="L28" s="234"/>
      <c r="M28" s="234"/>
      <c r="N28" s="234"/>
      <c r="O28" s="234"/>
      <c r="P28" s="234"/>
      <c r="Q28" s="234"/>
      <c r="R28" s="234"/>
      <c r="S28" s="234"/>
      <c r="T28" s="234"/>
      <c r="U28" s="234"/>
      <c r="V28" s="234"/>
      <c r="W28" s="234"/>
      <c r="X28" s="234"/>
      <c r="Y28" s="234"/>
      <c r="Z28" s="234"/>
      <c r="AA28" s="234"/>
      <c r="AB28" s="234"/>
      <c r="AC28" s="234"/>
      <c r="AD28" s="234"/>
      <c r="AE28" s="234"/>
      <c r="AF28" s="234"/>
      <c r="AG28" s="234"/>
      <c r="AH28" s="287"/>
    </row>
    <row r="29" spans="1:34" x14ac:dyDescent="0.45">
      <c r="A29" s="286"/>
      <c r="B29" s="234"/>
      <c r="C29" s="234"/>
      <c r="D29" s="234"/>
      <c r="E29" s="234"/>
      <c r="F29" s="234"/>
      <c r="G29" s="234"/>
      <c r="H29" s="234"/>
      <c r="I29" s="234"/>
      <c r="J29" s="234"/>
      <c r="K29" s="234"/>
      <c r="L29" s="234"/>
      <c r="M29" s="234"/>
      <c r="N29" s="234"/>
      <c r="O29" s="234"/>
      <c r="P29" s="234"/>
      <c r="Q29" s="234"/>
      <c r="R29" s="234"/>
      <c r="S29" s="234"/>
      <c r="T29" s="234"/>
      <c r="U29" s="234"/>
      <c r="V29" s="234"/>
      <c r="W29" s="234"/>
      <c r="X29" s="234"/>
      <c r="Y29" s="234"/>
      <c r="Z29" s="234"/>
      <c r="AA29" s="234"/>
      <c r="AB29" s="234"/>
      <c r="AC29" s="234"/>
      <c r="AD29" s="234"/>
      <c r="AE29" s="234"/>
      <c r="AF29" s="234"/>
      <c r="AG29" s="234"/>
      <c r="AH29" s="287"/>
    </row>
    <row r="30" spans="1:34" x14ac:dyDescent="0.45">
      <c r="A30" s="286"/>
      <c r="B30" s="234"/>
      <c r="C30" s="234"/>
      <c r="D30" s="234"/>
      <c r="E30" s="234"/>
      <c r="F30" s="234"/>
      <c r="G30" s="234"/>
      <c r="H30" s="234"/>
      <c r="I30" s="234"/>
      <c r="J30" s="234"/>
      <c r="K30" s="234"/>
      <c r="L30" s="234"/>
      <c r="M30" s="234"/>
      <c r="N30" s="234"/>
      <c r="O30" s="234"/>
      <c r="P30" s="234"/>
      <c r="Q30" s="234"/>
      <c r="R30" s="234"/>
      <c r="S30" s="234"/>
      <c r="T30" s="234"/>
      <c r="U30" s="234"/>
      <c r="V30" s="234"/>
      <c r="W30" s="234"/>
      <c r="X30" s="234"/>
      <c r="Y30" s="234"/>
      <c r="Z30" s="234"/>
      <c r="AA30" s="234"/>
      <c r="AB30" s="234"/>
      <c r="AC30" s="234"/>
      <c r="AD30" s="234"/>
      <c r="AE30" s="234"/>
      <c r="AF30" s="234"/>
      <c r="AG30" s="234"/>
      <c r="AH30" s="287"/>
    </row>
    <row r="31" spans="1:34" x14ac:dyDescent="0.45">
      <c r="A31" s="286"/>
      <c r="B31" s="234"/>
      <c r="C31" s="234"/>
      <c r="D31" s="234"/>
      <c r="E31" s="234"/>
      <c r="F31" s="234"/>
      <c r="G31" s="234"/>
      <c r="H31" s="234"/>
      <c r="I31" s="234"/>
      <c r="J31" s="234"/>
      <c r="K31" s="234"/>
      <c r="L31" s="234"/>
      <c r="M31" s="234"/>
      <c r="N31" s="234"/>
      <c r="O31" s="234"/>
      <c r="P31" s="234"/>
      <c r="Q31" s="234"/>
      <c r="R31" s="234"/>
      <c r="S31" s="234"/>
      <c r="T31" s="234"/>
      <c r="U31" s="234"/>
      <c r="V31" s="234"/>
      <c r="W31" s="234"/>
      <c r="X31" s="234"/>
      <c r="Y31" s="234"/>
      <c r="Z31" s="234"/>
      <c r="AA31" s="234"/>
      <c r="AB31" s="234"/>
      <c r="AC31" s="234"/>
      <c r="AD31" s="234"/>
      <c r="AE31" s="234"/>
      <c r="AF31" s="234"/>
      <c r="AG31" s="234"/>
      <c r="AH31" s="287"/>
    </row>
    <row r="32" spans="1:34" x14ac:dyDescent="0.45">
      <c r="A32" s="286"/>
      <c r="B32" s="234"/>
      <c r="C32" s="234"/>
      <c r="D32" s="234"/>
      <c r="E32" s="234"/>
      <c r="F32" s="234"/>
      <c r="G32" s="234"/>
      <c r="H32" s="234"/>
      <c r="I32" s="234"/>
      <c r="J32" s="234"/>
      <c r="K32" s="234"/>
      <c r="L32" s="234"/>
      <c r="M32" s="234"/>
      <c r="N32" s="234"/>
      <c r="O32" s="234"/>
      <c r="P32" s="234"/>
      <c r="Q32" s="234"/>
      <c r="R32" s="234"/>
      <c r="S32" s="234"/>
      <c r="T32" s="234"/>
      <c r="U32" s="234"/>
      <c r="V32" s="234"/>
      <c r="W32" s="234"/>
      <c r="X32" s="234"/>
      <c r="Y32" s="234"/>
      <c r="Z32" s="234"/>
      <c r="AA32" s="234"/>
      <c r="AB32" s="234"/>
      <c r="AC32" s="234"/>
      <c r="AD32" s="234"/>
      <c r="AE32" s="234"/>
      <c r="AF32" s="234"/>
      <c r="AG32" s="234"/>
      <c r="AH32" s="287"/>
    </row>
    <row r="33" spans="1:34" x14ac:dyDescent="0.45">
      <c r="A33" s="286"/>
      <c r="B33" s="234"/>
      <c r="C33" s="234"/>
      <c r="D33" s="234"/>
      <c r="E33" s="234"/>
      <c r="F33" s="234"/>
      <c r="G33" s="234"/>
      <c r="H33" s="234"/>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87"/>
    </row>
    <row r="34" spans="1:34" x14ac:dyDescent="0.45">
      <c r="A34" s="286"/>
      <c r="B34" s="234"/>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87"/>
    </row>
    <row r="35" spans="1:34" x14ac:dyDescent="0.45">
      <c r="A35" s="286"/>
      <c r="B35" s="234"/>
      <c r="C35" s="234"/>
      <c r="D35" s="234"/>
      <c r="E35" s="234"/>
      <c r="F35" s="234"/>
      <c r="G35" s="234"/>
      <c r="H35" s="234"/>
      <c r="I35" s="234"/>
      <c r="J35" s="234"/>
      <c r="K35" s="234"/>
      <c r="L35" s="234"/>
      <c r="M35" s="234"/>
      <c r="N35" s="234"/>
      <c r="O35" s="234"/>
      <c r="P35" s="234"/>
      <c r="Q35" s="234"/>
      <c r="R35" s="234"/>
      <c r="S35" s="234"/>
      <c r="T35" s="234"/>
      <c r="U35" s="234"/>
      <c r="V35" s="234"/>
      <c r="W35" s="234"/>
      <c r="X35" s="234"/>
      <c r="Y35" s="234"/>
      <c r="Z35" s="234"/>
      <c r="AA35" s="234"/>
      <c r="AB35" s="234"/>
      <c r="AC35" s="234"/>
      <c r="AD35" s="234"/>
      <c r="AE35" s="234"/>
      <c r="AF35" s="234"/>
      <c r="AG35" s="234"/>
      <c r="AH35" s="287"/>
    </row>
    <row r="36" spans="1:34" x14ac:dyDescent="0.45">
      <c r="A36" s="290"/>
      <c r="B36" s="291"/>
      <c r="C36" s="291"/>
      <c r="D36" s="291"/>
      <c r="E36" s="291"/>
      <c r="F36" s="291"/>
      <c r="G36" s="291"/>
      <c r="H36" s="291"/>
      <c r="I36" s="291"/>
      <c r="J36" s="291"/>
      <c r="K36" s="291"/>
      <c r="L36" s="291"/>
      <c r="M36" s="291"/>
      <c r="N36" s="291"/>
      <c r="O36" s="291"/>
      <c r="P36" s="291"/>
      <c r="Q36" s="291"/>
      <c r="R36" s="291"/>
      <c r="S36" s="291"/>
      <c r="T36" s="291"/>
      <c r="U36" s="291"/>
      <c r="V36" s="291"/>
      <c r="W36" s="291"/>
      <c r="X36" s="291"/>
      <c r="Y36" s="291"/>
      <c r="Z36" s="291"/>
      <c r="AA36" s="291"/>
      <c r="AB36" s="291"/>
      <c r="AC36" s="291"/>
      <c r="AD36" s="291"/>
      <c r="AE36" s="291"/>
      <c r="AF36" s="291"/>
      <c r="AG36" s="291"/>
      <c r="AH36" s="292"/>
    </row>
    <row r="37" spans="1:34" x14ac:dyDescent="0.45">
      <c r="A37" s="235"/>
      <c r="B37" s="235"/>
      <c r="C37" s="235"/>
      <c r="D37" s="235"/>
      <c r="E37" s="235"/>
      <c r="F37" s="235"/>
      <c r="G37" s="235"/>
      <c r="H37" s="235"/>
      <c r="I37" s="235"/>
      <c r="J37" s="235"/>
      <c r="K37" s="235"/>
      <c r="L37" s="235"/>
      <c r="M37" s="235"/>
      <c r="N37" s="235"/>
      <c r="O37" s="235"/>
      <c r="P37" s="235"/>
      <c r="Q37" s="235"/>
      <c r="R37" s="235"/>
      <c r="S37" s="235"/>
    </row>
  </sheetData>
  <mergeCells count="7">
    <mergeCell ref="AB5:AH5"/>
    <mergeCell ref="A21:H21"/>
    <mergeCell ref="A5:H5"/>
    <mergeCell ref="J5:Q5"/>
    <mergeCell ref="J21:Q21"/>
    <mergeCell ref="S5:Z5"/>
    <mergeCell ref="S21:Z21"/>
  </mergeCells>
  <pageMargins left="0.39370078740157483" right="0.39370078740157483" top="0.98425196850393704" bottom="0.78740157480314965" header="0.11811023622047245" footer="0.11811023622047245"/>
  <pageSetup paperSize="9" scale="53" orientation="landscape" r:id="rId1"/>
  <headerFooter>
    <oddHeader xml:space="preserve">&amp;L&amp;G
&amp;C&amp;14
&amp;16&amp;A&amp;R
&amp;G </oddHeader>
    <oddFooter>&amp;L&amp;F&amp;C&amp;P von &amp;N&amp;R&amp;D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3">
    <tabColor theme="2" tint="-0.499984740745262"/>
    <pageSetUpPr fitToPage="1"/>
  </sheetPr>
  <dimension ref="A1:R31"/>
  <sheetViews>
    <sheetView view="pageBreakPreview" zoomScaleNormal="100" zoomScaleSheetLayoutView="100" workbookViewId="0"/>
  </sheetViews>
  <sheetFormatPr baseColWidth="10" defaultColWidth="11.3984375" defaultRowHeight="14.25" x14ac:dyDescent="0.45"/>
  <cols>
    <col min="1" max="1" width="35" style="19" customWidth="1"/>
    <col min="2" max="2" width="18.73046875" style="20" customWidth="1"/>
    <col min="3" max="4" width="18.73046875" style="19" customWidth="1"/>
    <col min="5" max="5" width="11.3984375" style="19"/>
    <col min="6" max="6" width="32.73046875" style="19" bestFit="1" customWidth="1"/>
    <col min="7" max="7" width="12.265625" style="19" bestFit="1" customWidth="1"/>
    <col min="8" max="16384" width="11.3984375" style="19"/>
  </cols>
  <sheetData>
    <row r="1" spans="1:18" s="11" customFormat="1" ht="16.5" customHeight="1" x14ac:dyDescent="0.5">
      <c r="A1" s="1" t="s">
        <v>188</v>
      </c>
      <c r="B1" s="2"/>
      <c r="C1" s="2"/>
      <c r="D1" s="3"/>
      <c r="E1" s="2"/>
      <c r="F1" s="3"/>
      <c r="G1" s="2"/>
      <c r="H1" s="2"/>
      <c r="I1" s="8"/>
      <c r="J1" s="8"/>
    </row>
    <row r="2" spans="1:18" s="8" customFormat="1" x14ac:dyDescent="0.45">
      <c r="A2" s="5"/>
      <c r="B2" s="6"/>
      <c r="C2" s="6"/>
      <c r="D2" s="6"/>
      <c r="E2" s="6"/>
      <c r="F2" s="6"/>
      <c r="G2" s="6"/>
      <c r="H2" s="6"/>
      <c r="I2" s="7"/>
      <c r="J2" s="7"/>
      <c r="K2" s="7"/>
      <c r="L2" s="7"/>
      <c r="M2" s="7"/>
      <c r="N2" s="7"/>
      <c r="O2" s="7"/>
      <c r="P2" s="7"/>
      <c r="Q2" s="7"/>
      <c r="R2" s="7"/>
    </row>
    <row r="3" spans="1:18" s="11" customFormat="1" ht="13.15" x14ac:dyDescent="0.4">
      <c r="A3" s="333" t="s">
        <v>191</v>
      </c>
      <c r="B3" s="333"/>
      <c r="C3" s="333"/>
      <c r="D3" s="333"/>
      <c r="E3" s="333"/>
      <c r="F3" s="333"/>
      <c r="G3" s="333"/>
      <c r="H3" s="333"/>
    </row>
    <row r="4" spans="1:18" s="11" customFormat="1" ht="13.15" x14ac:dyDescent="0.4">
      <c r="A4" s="276" t="s">
        <v>178</v>
      </c>
      <c r="B4" s="276" t="s">
        <v>59</v>
      </c>
      <c r="C4" s="276" t="s">
        <v>116</v>
      </c>
      <c r="D4" s="12"/>
      <c r="E4" s="12"/>
      <c r="F4" s="12"/>
      <c r="G4" s="12"/>
      <c r="H4" s="298"/>
    </row>
    <row r="5" spans="1:18" s="11" customFormat="1" ht="13.15" x14ac:dyDescent="0.4">
      <c r="A5" s="80" t="str">
        <f>'Scoring Summary'!A31</f>
        <v>IT Strategie und Planung</v>
      </c>
      <c r="B5" s="77" t="str">
        <f>IF('Scoring Summary'!B31&gt;0.8,"Dynamic",IF('Scoring Summary'!B31&gt;0.6,"Rationalized",IF('Scoring Summary'!B31&gt;0.4,"Standardized","Basic")))</f>
        <v>Rationalized</v>
      </c>
      <c r="C5" s="78">
        <f>IF(B5="Dynamic",4,IF(B5="Rationalized",3,IF(B5="Standardized",2,1)))</f>
        <v>3</v>
      </c>
      <c r="D5" s="12"/>
      <c r="E5" s="12"/>
      <c r="F5" s="12"/>
      <c r="G5" s="12"/>
      <c r="H5" s="298"/>
    </row>
    <row r="6" spans="1:18" s="11" customFormat="1" ht="13.15" x14ac:dyDescent="0.4">
      <c r="A6" s="80" t="str">
        <f>'Scoring Summary'!A32</f>
        <v>IT Services und Prozesse</v>
      </c>
      <c r="B6" s="77" t="str">
        <f>IF('Scoring Summary'!B32&gt;0.8,"Dynamic",IF('Scoring Summary'!B32&gt;0.6,"Rationalized",IF('Scoring Summary'!B32&gt;0.4,"Standardized","Basic")))</f>
        <v>Rationalized</v>
      </c>
      <c r="C6" s="78">
        <f t="shared" ref="C6:C10" si="0">IF(B6="Dynamic",4,IF(B6="Rationalized",3,IF(B6="Standardized",2,1)))</f>
        <v>3</v>
      </c>
      <c r="D6" s="12"/>
      <c r="E6" s="12"/>
      <c r="F6" s="12"/>
      <c r="G6" s="12"/>
      <c r="H6" s="298"/>
    </row>
    <row r="7" spans="1:18" s="11" customFormat="1" ht="13.15" x14ac:dyDescent="0.4">
      <c r="A7" s="80" t="str">
        <f>'Scoring Summary'!A33</f>
        <v>IT Infrastruktur</v>
      </c>
      <c r="B7" s="77" t="str">
        <f>IF('Scoring Summary'!B33&gt;0.8,"Dynamic",IF('Scoring Summary'!B33&gt;0.6,"Rationalized",IF('Scoring Summary'!B33&gt;0.4,"Standardized","Basic")))</f>
        <v>Standardized</v>
      </c>
      <c r="C7" s="78">
        <f t="shared" si="0"/>
        <v>2</v>
      </c>
      <c r="D7" s="12"/>
      <c r="E7" s="12"/>
      <c r="F7" s="12"/>
      <c r="G7" s="12"/>
      <c r="H7" s="298"/>
    </row>
    <row r="8" spans="1:18" s="11" customFormat="1" ht="13.15" x14ac:dyDescent="0.4">
      <c r="A8" s="80" t="str">
        <f>'Scoring Summary'!A34</f>
        <v>Personal und Kompetenzen</v>
      </c>
      <c r="B8" s="77" t="str">
        <f>IF('Scoring Summary'!B34&gt;0.8,"Dynamic",IF('Scoring Summary'!B34&gt;0.6,"Rationalized",IF('Scoring Summary'!B34&gt;0.4,"Standardized","Basic")))</f>
        <v>Rationalized</v>
      </c>
      <c r="C8" s="78">
        <f t="shared" si="0"/>
        <v>3</v>
      </c>
      <c r="D8" s="12"/>
      <c r="E8" s="12"/>
      <c r="F8" s="12"/>
      <c r="G8" s="12"/>
      <c r="H8" s="298"/>
    </row>
    <row r="9" spans="1:18" s="11" customFormat="1" ht="13.15" x14ac:dyDescent="0.4">
      <c r="A9" s="80" t="str">
        <f>'Scoring Summary'!A35</f>
        <v>Organisation und Governance</v>
      </c>
      <c r="B9" s="77" t="str">
        <f>IF('Scoring Summary'!B35&gt;0.8,"Dynamic",IF('Scoring Summary'!B35&gt;0.6,"Rationalized",IF('Scoring Summary'!B35&gt;0.4,"Standardized","Basic")))</f>
        <v>Dynamic</v>
      </c>
      <c r="C9" s="78">
        <f t="shared" si="0"/>
        <v>4</v>
      </c>
      <c r="D9" s="12"/>
      <c r="E9" s="12"/>
      <c r="F9" s="12"/>
      <c r="G9" s="12"/>
      <c r="H9" s="298"/>
    </row>
    <row r="10" spans="1:18" s="11" customFormat="1" ht="13.15" x14ac:dyDescent="0.4">
      <c r="A10" s="80" t="str">
        <f>'Scoring Summary'!A36</f>
        <v>Sourcing</v>
      </c>
      <c r="B10" s="77" t="str">
        <f>IF('Scoring Summary'!B36&gt;0.8,"Dynamic",IF('Scoring Summary'!B36&gt;0.6,"Rationalized",IF('Scoring Summary'!B36&gt;0.4,"Standardized","Basic")))</f>
        <v>Rationalized</v>
      </c>
      <c r="C10" s="78">
        <f t="shared" si="0"/>
        <v>3</v>
      </c>
      <c r="D10" s="12"/>
      <c r="E10" s="12"/>
      <c r="F10" s="12"/>
      <c r="G10" s="12"/>
      <c r="H10" s="298"/>
    </row>
    <row r="11" spans="1:18" s="11" customFormat="1" ht="13.15" x14ac:dyDescent="0.4">
      <c r="A11" s="299"/>
      <c r="B11" s="12"/>
      <c r="C11" s="12"/>
      <c r="D11" s="12"/>
      <c r="E11" s="12"/>
      <c r="F11" s="12"/>
      <c r="G11" s="12"/>
      <c r="H11" s="298"/>
    </row>
    <row r="12" spans="1:18" s="11" customFormat="1" ht="13.15" x14ac:dyDescent="0.4">
      <c r="A12" s="299"/>
      <c r="B12" s="12"/>
      <c r="C12" s="12"/>
      <c r="D12" s="12"/>
      <c r="E12" s="12"/>
      <c r="F12" s="12"/>
      <c r="G12" s="12"/>
      <c r="H12" s="298"/>
    </row>
    <row r="13" spans="1:18" s="11" customFormat="1" ht="13.15" x14ac:dyDescent="0.4">
      <c r="A13" s="299"/>
      <c r="B13" s="12"/>
      <c r="C13" s="12"/>
      <c r="D13" s="12"/>
      <c r="E13" s="12"/>
      <c r="F13" s="12"/>
      <c r="G13" s="12"/>
      <c r="H13" s="298"/>
    </row>
    <row r="14" spans="1:18" s="11" customFormat="1" ht="13.15" x14ac:dyDescent="0.4">
      <c r="A14" s="299"/>
      <c r="B14" s="12"/>
      <c r="C14" s="12"/>
      <c r="D14" s="12"/>
      <c r="E14" s="12"/>
      <c r="F14" s="12"/>
      <c r="G14" s="12"/>
      <c r="H14" s="298"/>
    </row>
    <row r="15" spans="1:18" s="11" customFormat="1" ht="13.15" x14ac:dyDescent="0.4">
      <c r="A15" s="299"/>
      <c r="B15" s="12"/>
      <c r="C15" s="12"/>
      <c r="D15" s="12"/>
      <c r="E15" s="12"/>
      <c r="F15" s="12"/>
      <c r="G15" s="12"/>
      <c r="H15" s="298"/>
    </row>
    <row r="16" spans="1:18" s="11" customFormat="1" ht="13.15" x14ac:dyDescent="0.4">
      <c r="A16" s="299"/>
      <c r="B16" s="12"/>
      <c r="C16" s="12"/>
      <c r="D16" s="12"/>
      <c r="E16" s="12"/>
      <c r="F16" s="12"/>
      <c r="G16" s="12"/>
      <c r="H16" s="298"/>
    </row>
    <row r="17" spans="1:8" s="11" customFormat="1" ht="13.15" x14ac:dyDescent="0.4">
      <c r="A17" s="299"/>
      <c r="B17" s="12"/>
      <c r="C17" s="12"/>
      <c r="D17" s="12"/>
      <c r="E17" s="12"/>
      <c r="F17" s="12"/>
      <c r="G17" s="12"/>
      <c r="H17" s="298"/>
    </row>
    <row r="18" spans="1:8" s="11" customFormat="1" ht="13.15" x14ac:dyDescent="0.4">
      <c r="A18" s="299"/>
      <c r="B18" s="12"/>
      <c r="C18" s="12"/>
      <c r="D18" s="12"/>
      <c r="E18" s="12"/>
      <c r="F18" s="12"/>
      <c r="G18" s="12"/>
      <c r="H18" s="298"/>
    </row>
    <row r="19" spans="1:8" s="11" customFormat="1" ht="13.15" x14ac:dyDescent="0.4">
      <c r="A19" s="299"/>
      <c r="B19" s="12"/>
      <c r="C19" s="12"/>
      <c r="D19" s="12"/>
      <c r="E19" s="12"/>
      <c r="F19" s="12"/>
      <c r="G19" s="12"/>
      <c r="H19" s="298"/>
    </row>
    <row r="20" spans="1:8" s="11" customFormat="1" ht="13.15" x14ac:dyDescent="0.4">
      <c r="A20" s="299"/>
      <c r="B20" s="12"/>
      <c r="C20" s="12"/>
      <c r="D20" s="12"/>
      <c r="E20" s="12"/>
      <c r="F20" s="12"/>
      <c r="G20" s="12"/>
      <c r="H20" s="298"/>
    </row>
    <row r="21" spans="1:8" s="11" customFormat="1" ht="13.15" x14ac:dyDescent="0.4">
      <c r="A21" s="299"/>
      <c r="B21" s="12"/>
      <c r="C21" s="12"/>
      <c r="D21" s="12"/>
      <c r="E21" s="12"/>
      <c r="F21" s="12"/>
      <c r="G21" s="12"/>
      <c r="H21" s="298"/>
    </row>
    <row r="22" spans="1:8" s="11" customFormat="1" ht="13.15" x14ac:dyDescent="0.4">
      <c r="A22" s="299"/>
      <c r="B22" s="12"/>
      <c r="C22" s="12"/>
      <c r="D22" s="12"/>
      <c r="E22" s="12"/>
      <c r="F22" s="12"/>
      <c r="G22" s="12"/>
      <c r="H22" s="298"/>
    </row>
    <row r="23" spans="1:8" s="11" customFormat="1" ht="13.15" x14ac:dyDescent="0.4">
      <c r="A23" s="299"/>
      <c r="B23" s="12"/>
      <c r="C23" s="12"/>
      <c r="D23" s="12"/>
      <c r="E23" s="12"/>
      <c r="F23" s="12"/>
      <c r="G23" s="12"/>
      <c r="H23" s="298"/>
    </row>
    <row r="24" spans="1:8" s="11" customFormat="1" ht="13.15" x14ac:dyDescent="0.4">
      <c r="A24" s="299"/>
      <c r="B24" s="12"/>
      <c r="C24" s="12"/>
      <c r="D24" s="12"/>
      <c r="E24" s="12"/>
      <c r="F24" s="12"/>
      <c r="G24" s="12"/>
      <c r="H24" s="298"/>
    </row>
    <row r="25" spans="1:8" x14ac:dyDescent="0.45">
      <c r="A25" s="300"/>
      <c r="B25" s="79"/>
      <c r="C25" s="6"/>
      <c r="D25" s="6"/>
      <c r="E25" s="6"/>
      <c r="F25" s="6"/>
      <c r="G25" s="6"/>
      <c r="H25" s="301"/>
    </row>
    <row r="26" spans="1:8" x14ac:dyDescent="0.45">
      <c r="A26" s="300"/>
      <c r="B26" s="79"/>
      <c r="C26" s="6"/>
      <c r="D26" s="6"/>
      <c r="E26" s="6"/>
      <c r="F26" s="6"/>
      <c r="G26" s="6"/>
      <c r="H26" s="301"/>
    </row>
    <row r="27" spans="1:8" x14ac:dyDescent="0.45">
      <c r="A27" s="300"/>
      <c r="B27" s="79"/>
      <c r="C27" s="6"/>
      <c r="D27" s="6"/>
      <c r="E27" s="6"/>
      <c r="F27" s="6"/>
      <c r="G27" s="6"/>
      <c r="H27" s="301"/>
    </row>
    <row r="28" spans="1:8" x14ac:dyDescent="0.45">
      <c r="A28" s="300"/>
      <c r="B28" s="79"/>
      <c r="C28" s="6"/>
      <c r="D28" s="6"/>
      <c r="E28" s="6"/>
      <c r="F28" s="6"/>
      <c r="G28" s="6"/>
      <c r="H28" s="301"/>
    </row>
    <row r="29" spans="1:8" x14ac:dyDescent="0.45">
      <c r="A29" s="300"/>
      <c r="B29" s="79"/>
      <c r="C29" s="6"/>
      <c r="D29" s="6"/>
      <c r="E29" s="6"/>
      <c r="F29" s="6"/>
      <c r="G29" s="6"/>
      <c r="H29" s="301"/>
    </row>
    <row r="30" spans="1:8" x14ac:dyDescent="0.45">
      <c r="A30" s="300"/>
      <c r="B30" s="79"/>
      <c r="C30" s="6"/>
      <c r="D30" s="6"/>
      <c r="E30" s="6"/>
      <c r="F30" s="6"/>
      <c r="G30" s="6"/>
      <c r="H30" s="301"/>
    </row>
    <row r="31" spans="1:8" x14ac:dyDescent="0.45">
      <c r="A31" s="302"/>
      <c r="B31" s="303"/>
      <c r="C31" s="304"/>
      <c r="D31" s="304"/>
      <c r="E31" s="304"/>
      <c r="F31" s="304"/>
      <c r="G31" s="304"/>
      <c r="H31" s="305"/>
    </row>
  </sheetData>
  <mergeCells count="1">
    <mergeCell ref="A3:H3"/>
  </mergeCells>
  <conditionalFormatting sqref="C5:C10">
    <cfRule type="colorScale" priority="1">
      <colorScale>
        <cfvo type="num" val="0"/>
        <cfvo type="percentile" val="50"/>
        <cfvo type="num" val="4"/>
        <color rgb="FFF8696B"/>
        <color rgb="FFFFEB84"/>
        <color rgb="FF63BE7B"/>
      </colorScale>
    </cfRule>
  </conditionalFormatting>
  <pageMargins left="0.39370078740157483" right="0.39370078740157483" top="0.98425196850393704" bottom="0.78740157480314965" header="0.11811023622047245" footer="0.11811023622047245"/>
  <pageSetup paperSize="9" scale="87" orientation="landscape" r:id="rId1"/>
  <headerFooter>
    <oddHeader xml:space="preserve">&amp;L&amp;G
&amp;C&amp;14
&amp;16&amp;A&amp;R
&amp;G </oddHeader>
    <oddFooter>&amp;L&amp;F&amp;C&amp;P von &amp;N&amp;R&amp;D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6">
    <tabColor rgb="FF002060"/>
    <pageSetUpPr fitToPage="1"/>
  </sheetPr>
  <dimension ref="A1:Q19"/>
  <sheetViews>
    <sheetView zoomScaleNormal="100" zoomScaleSheetLayoutView="123" workbookViewId="0">
      <selection activeCell="B19" sqref="B19"/>
    </sheetView>
  </sheetViews>
  <sheetFormatPr baseColWidth="10" defaultColWidth="80.265625" defaultRowHeight="13.15" x14ac:dyDescent="0.4"/>
  <cols>
    <col min="1" max="1" width="65.1328125" style="11" customWidth="1"/>
    <col min="2" max="2" width="12.86328125" style="11" customWidth="1"/>
    <col min="3" max="3" width="19.3984375" style="11" customWidth="1"/>
    <col min="4" max="4" width="35.3984375" style="11" customWidth="1"/>
    <col min="5" max="16384" width="80.265625" style="11"/>
  </cols>
  <sheetData>
    <row r="1" spans="1:17" ht="15.75" x14ac:dyDescent="0.5">
      <c r="A1" s="1" t="s">
        <v>192</v>
      </c>
      <c r="B1" s="2"/>
      <c r="C1" s="2"/>
    </row>
    <row r="2" spans="1:17" s="8" customFormat="1" ht="14.25" x14ac:dyDescent="0.45">
      <c r="A2" s="5"/>
      <c r="B2" s="6"/>
      <c r="C2" s="6"/>
      <c r="D2" s="6"/>
      <c r="E2" s="6"/>
      <c r="F2" s="6"/>
      <c r="H2" s="7"/>
      <c r="I2" s="7"/>
      <c r="J2" s="7"/>
      <c r="K2" s="7"/>
      <c r="L2" s="7"/>
      <c r="M2" s="7"/>
      <c r="N2" s="7"/>
      <c r="O2" s="7"/>
      <c r="P2" s="7"/>
      <c r="Q2" s="7"/>
    </row>
    <row r="3" spans="1:17" x14ac:dyDescent="0.4">
      <c r="A3" s="355" t="s">
        <v>184</v>
      </c>
      <c r="B3" s="356"/>
      <c r="C3" s="357"/>
    </row>
    <row r="4" spans="1:17" ht="25.5" customHeight="1" x14ac:dyDescent="0.4">
      <c r="A4" s="358" t="s">
        <v>85</v>
      </c>
      <c r="B4" s="359"/>
      <c r="C4" s="278" t="s">
        <v>193</v>
      </c>
    </row>
    <row r="5" spans="1:17" x14ac:dyDescent="0.4">
      <c r="A5" s="279" t="s">
        <v>63</v>
      </c>
      <c r="B5" s="280" t="s">
        <v>10</v>
      </c>
      <c r="C5" s="281"/>
    </row>
    <row r="6" spans="1:17" x14ac:dyDescent="0.4">
      <c r="A6" s="207" t="s">
        <v>88</v>
      </c>
      <c r="B6" s="131" t="s">
        <v>10</v>
      </c>
      <c r="C6" s="308">
        <v>0.95</v>
      </c>
    </row>
    <row r="7" spans="1:17" x14ac:dyDescent="0.4">
      <c r="A7" s="207" t="s">
        <v>89</v>
      </c>
      <c r="B7" s="131" t="s">
        <v>10</v>
      </c>
      <c r="C7" s="308">
        <v>0.5</v>
      </c>
    </row>
    <row r="8" spans="1:17" x14ac:dyDescent="0.4">
      <c r="A8" s="207" t="s">
        <v>90</v>
      </c>
      <c r="B8" s="131" t="s">
        <v>16</v>
      </c>
      <c r="C8" s="308">
        <v>0</v>
      </c>
    </row>
    <row r="9" spans="1:17" x14ac:dyDescent="0.4">
      <c r="A9" s="207" t="s">
        <v>86</v>
      </c>
      <c r="B9" s="131" t="s">
        <v>10</v>
      </c>
      <c r="C9" s="308">
        <v>0.9</v>
      </c>
    </row>
    <row r="10" spans="1:17" x14ac:dyDescent="0.4">
      <c r="A10" s="207" t="s">
        <v>199</v>
      </c>
      <c r="B10" s="131" t="s">
        <v>10</v>
      </c>
      <c r="C10" s="308">
        <v>0.2</v>
      </c>
    </row>
    <row r="11" spans="1:17" x14ac:dyDescent="0.4">
      <c r="A11" s="207" t="s">
        <v>91</v>
      </c>
      <c r="B11" s="131" t="s">
        <v>10</v>
      </c>
      <c r="C11" s="308">
        <v>0.2</v>
      </c>
    </row>
    <row r="12" spans="1:17" x14ac:dyDescent="0.4">
      <c r="A12" s="207" t="s">
        <v>60</v>
      </c>
      <c r="B12" s="131" t="s">
        <v>10</v>
      </c>
      <c r="C12" s="308">
        <v>0.95</v>
      </c>
    </row>
    <row r="13" spans="1:17" x14ac:dyDescent="0.4">
      <c r="A13" s="207" t="s">
        <v>61</v>
      </c>
      <c r="B13" s="131" t="s">
        <v>10</v>
      </c>
      <c r="C13" s="308">
        <v>0.95</v>
      </c>
    </row>
    <row r="14" spans="1:17" x14ac:dyDescent="0.4">
      <c r="A14" s="207" t="s">
        <v>87</v>
      </c>
      <c r="B14" s="131" t="s">
        <v>16</v>
      </c>
      <c r="C14" s="308">
        <v>0</v>
      </c>
    </row>
    <row r="15" spans="1:17" x14ac:dyDescent="0.4">
      <c r="A15" s="279" t="s">
        <v>62</v>
      </c>
      <c r="B15" s="323" t="s">
        <v>10</v>
      </c>
      <c r="C15" s="281"/>
    </row>
    <row r="16" spans="1:17" x14ac:dyDescent="0.4">
      <c r="A16" s="207" t="s">
        <v>95</v>
      </c>
      <c r="B16" s="32" t="s">
        <v>10</v>
      </c>
      <c r="C16" s="308">
        <v>1</v>
      </c>
    </row>
    <row r="17" spans="1:3" x14ac:dyDescent="0.4">
      <c r="A17" s="207" t="s">
        <v>92</v>
      </c>
      <c r="B17" s="32" t="s">
        <v>16</v>
      </c>
      <c r="C17" s="308">
        <v>0</v>
      </c>
    </row>
    <row r="18" spans="1:3" x14ac:dyDescent="0.4">
      <c r="A18" s="207" t="s">
        <v>93</v>
      </c>
      <c r="B18" s="32" t="s">
        <v>16</v>
      </c>
      <c r="C18" s="308">
        <v>0</v>
      </c>
    </row>
    <row r="19" spans="1:3" x14ac:dyDescent="0.4">
      <c r="A19" s="207" t="s">
        <v>94</v>
      </c>
      <c r="B19" s="32" t="s">
        <v>16</v>
      </c>
      <c r="C19" s="308">
        <v>0</v>
      </c>
    </row>
  </sheetData>
  <mergeCells count="2">
    <mergeCell ref="A3:C3"/>
    <mergeCell ref="A4:B4"/>
  </mergeCells>
  <conditionalFormatting sqref="B5:B19">
    <cfRule type="expression" dxfId="39" priority="9">
      <formula>IF($B$5="Ja",1,0)</formula>
    </cfRule>
  </conditionalFormatting>
  <conditionalFormatting sqref="B5:B14">
    <cfRule type="expression" dxfId="38" priority="8">
      <formula>IF($B$5="Nein",1,0)</formula>
    </cfRule>
  </conditionalFormatting>
  <conditionalFormatting sqref="B15:B19">
    <cfRule type="expression" dxfId="37" priority="1">
      <formula>IF($B$15="Ja",1,0)</formula>
    </cfRule>
    <cfRule type="expression" dxfId="36" priority="2">
      <formula>IF($B$15="Nein",1,0)</formula>
    </cfRule>
  </conditionalFormatting>
  <dataValidations count="1">
    <dataValidation type="list" allowBlank="1" showInputMessage="1" showErrorMessage="1" sqref="B5:B19" xr:uid="{00000000-0002-0000-0900-000000000000}">
      <formula1>Boolean_Scale</formula1>
    </dataValidation>
  </dataValidations>
  <pageMargins left="0.39370078740157483" right="0.39370078740157483" top="0.98425196850393704" bottom="0.78740157480314965" header="0.11811023622047245" footer="0.11811023622047245"/>
  <pageSetup paperSize="9" orientation="landscape" r:id="rId1"/>
  <headerFooter>
    <oddHeader xml:space="preserve">&amp;L&amp;G
&amp;C&amp;14
&amp;16&amp;A&amp;R
&amp;G </oddHeader>
    <oddFooter>&amp;L&amp;F&amp;C&amp;P von &amp;N&amp;R&amp;D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7">
    <tabColor rgb="FF0070C0"/>
    <pageSetUpPr fitToPage="1"/>
  </sheetPr>
  <dimension ref="A1:E234"/>
  <sheetViews>
    <sheetView zoomScale="110" zoomScaleNormal="110" zoomScaleSheetLayoutView="121" workbookViewId="0">
      <selection activeCell="D11" sqref="D11"/>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16384" width="80.265625" style="8"/>
  </cols>
  <sheetData>
    <row r="1" spans="1:5" s="11" customFormat="1" ht="15.75" x14ac:dyDescent="0.5">
      <c r="A1" s="1" t="s">
        <v>100</v>
      </c>
      <c r="B1" s="2"/>
      <c r="C1" s="3"/>
      <c r="D1" s="4"/>
      <c r="E1" s="4"/>
    </row>
    <row r="2" spans="1:5" x14ac:dyDescent="0.45">
      <c r="A2" s="30"/>
      <c r="B2" s="30"/>
      <c r="C2" s="30"/>
      <c r="D2" s="30"/>
      <c r="E2" s="30"/>
    </row>
    <row r="3" spans="1:5" s="11" customFormat="1" ht="13.15" x14ac:dyDescent="0.4">
      <c r="A3" s="360"/>
      <c r="B3" s="360"/>
      <c r="C3" s="43"/>
      <c r="D3" s="9"/>
      <c r="E3" s="10"/>
    </row>
    <row r="4" spans="1:5" ht="39.4" x14ac:dyDescent="0.45">
      <c r="A4" s="277" t="s">
        <v>9</v>
      </c>
      <c r="B4" s="277" t="s">
        <v>20</v>
      </c>
      <c r="C4" s="278" t="s">
        <v>185</v>
      </c>
      <c r="D4" s="278" t="s">
        <v>22</v>
      </c>
      <c r="E4" s="278" t="s">
        <v>23</v>
      </c>
    </row>
    <row r="5" spans="1:5" ht="52.5" x14ac:dyDescent="0.45">
      <c r="A5" s="309" t="s">
        <v>10</v>
      </c>
      <c r="B5" s="311">
        <f t="shared" ref="B5:B13" si="0">IF(A5="Nein", 0, $A$18)</f>
        <v>0.14285714285714285</v>
      </c>
      <c r="C5" s="55" t="s">
        <v>70</v>
      </c>
      <c r="D5" s="119" t="s">
        <v>14</v>
      </c>
      <c r="E5" s="120"/>
    </row>
    <row r="6" spans="1:5" ht="39.4" x14ac:dyDescent="0.45">
      <c r="A6" s="309" t="s">
        <v>10</v>
      </c>
      <c r="B6" s="311">
        <f t="shared" si="0"/>
        <v>0.14285714285714285</v>
      </c>
      <c r="C6" s="55" t="s">
        <v>127</v>
      </c>
      <c r="D6" s="119" t="s">
        <v>14</v>
      </c>
      <c r="E6" s="120"/>
    </row>
    <row r="7" spans="1:5" ht="39.4" x14ac:dyDescent="0.45">
      <c r="A7" s="309" t="s">
        <v>10</v>
      </c>
      <c r="B7" s="311">
        <f t="shared" si="0"/>
        <v>0.14285714285714285</v>
      </c>
      <c r="C7" s="55" t="s">
        <v>128</v>
      </c>
      <c r="D7" s="119" t="s">
        <v>14</v>
      </c>
      <c r="E7" s="120"/>
    </row>
    <row r="8" spans="1:5" ht="39.4" x14ac:dyDescent="0.45">
      <c r="A8" s="309" t="s">
        <v>10</v>
      </c>
      <c r="B8" s="311">
        <f t="shared" si="0"/>
        <v>0.14285714285714285</v>
      </c>
      <c r="C8" s="55" t="s">
        <v>233</v>
      </c>
      <c r="D8" s="119" t="s">
        <v>14</v>
      </c>
      <c r="E8" s="120"/>
    </row>
    <row r="9" spans="1:5" ht="65.650000000000006" x14ac:dyDescent="0.45">
      <c r="A9" s="309" t="s">
        <v>10</v>
      </c>
      <c r="B9" s="311">
        <f t="shared" si="0"/>
        <v>0.14285714285714285</v>
      </c>
      <c r="C9" s="55" t="s">
        <v>234</v>
      </c>
      <c r="D9" s="119" t="s">
        <v>12</v>
      </c>
      <c r="E9" s="120"/>
    </row>
    <row r="10" spans="1:5" ht="52.5" x14ac:dyDescent="0.45">
      <c r="A10" s="309" t="s">
        <v>10</v>
      </c>
      <c r="B10" s="311">
        <f t="shared" si="0"/>
        <v>0.14285714285714285</v>
      </c>
      <c r="C10" s="55" t="s">
        <v>235</v>
      </c>
      <c r="D10" s="119" t="s">
        <v>16</v>
      </c>
      <c r="E10" s="120"/>
    </row>
    <row r="11" spans="1:5" x14ac:dyDescent="0.45">
      <c r="A11" s="309" t="s">
        <v>10</v>
      </c>
      <c r="B11" s="311">
        <f t="shared" ref="B11" si="1">IF(A11="Nein", 0, $A$18)</f>
        <v>0.14285714285714285</v>
      </c>
      <c r="C11" s="55" t="s">
        <v>236</v>
      </c>
      <c r="D11" s="119" t="s">
        <v>16</v>
      </c>
      <c r="E11" s="120"/>
    </row>
    <row r="12" spans="1:5" x14ac:dyDescent="0.45">
      <c r="A12" s="309" t="s">
        <v>16</v>
      </c>
      <c r="B12" s="311">
        <f t="shared" si="0"/>
        <v>0</v>
      </c>
      <c r="C12" s="310"/>
      <c r="D12" s="32" t="s">
        <v>10</v>
      </c>
      <c r="E12" s="120"/>
    </row>
    <row r="13" spans="1:5" x14ac:dyDescent="0.45">
      <c r="A13" s="309" t="s">
        <v>16</v>
      </c>
      <c r="B13" s="311">
        <f t="shared" si="0"/>
        <v>0</v>
      </c>
      <c r="C13" s="310"/>
      <c r="D13" s="32" t="s">
        <v>10</v>
      </c>
      <c r="E13" s="120"/>
    </row>
    <row r="14" spans="1:5" s="11" customFormat="1" ht="13.15" x14ac:dyDescent="0.4">
      <c r="A14" s="40"/>
      <c r="B14" s="40"/>
      <c r="C14" s="40"/>
      <c r="D14" s="40"/>
      <c r="E14" s="40"/>
    </row>
    <row r="15" spans="1:5" x14ac:dyDescent="0.45">
      <c r="A15" s="35" t="s">
        <v>17</v>
      </c>
      <c r="B15" s="40"/>
      <c r="C15" s="40"/>
      <c r="D15" s="40"/>
      <c r="E15" s="40"/>
    </row>
    <row r="16" spans="1:5" x14ac:dyDescent="0.45">
      <c r="A16" s="37">
        <f>COUNTIF(A5:A13, "Ja")</f>
        <v>7</v>
      </c>
      <c r="B16" s="40"/>
      <c r="C16" s="40"/>
      <c r="D16" s="40"/>
      <c r="E16" s="40"/>
    </row>
    <row r="17" spans="1:5" x14ac:dyDescent="0.45">
      <c r="A17" s="38" t="s">
        <v>18</v>
      </c>
      <c r="B17" s="40"/>
      <c r="C17" s="40"/>
      <c r="D17" s="40"/>
      <c r="E17" s="40"/>
    </row>
    <row r="18" spans="1:5" x14ac:dyDescent="0.45">
      <c r="A18" s="39">
        <f>1/A16</f>
        <v>0.14285714285714285</v>
      </c>
      <c r="B18" s="40"/>
      <c r="C18" s="40"/>
      <c r="D18" s="40"/>
      <c r="E18" s="40"/>
    </row>
    <row r="19" spans="1:5" x14ac:dyDescent="0.45">
      <c r="A19" s="41" t="s">
        <v>6</v>
      </c>
      <c r="B19" s="40"/>
      <c r="C19" s="40"/>
      <c r="D19" s="40"/>
      <c r="E19" s="40"/>
    </row>
    <row r="20" spans="1:5" x14ac:dyDescent="0.45">
      <c r="A20" s="39">
        <f>SUM(B5:B13)</f>
        <v>0.99999999999999978</v>
      </c>
      <c r="B20" s="40"/>
      <c r="C20" s="40"/>
      <c r="D20" s="40"/>
      <c r="E20" s="40"/>
    </row>
    <row r="21" spans="1:5" x14ac:dyDescent="0.45">
      <c r="A21" s="11"/>
      <c r="B21" s="11"/>
      <c r="C21" s="11"/>
      <c r="D21" s="11"/>
      <c r="E21" s="11"/>
    </row>
    <row r="22" spans="1:5" x14ac:dyDescent="0.45">
      <c r="A22" s="11"/>
      <c r="B22" s="11"/>
      <c r="C22" s="11"/>
      <c r="D22" s="11"/>
      <c r="E22" s="11"/>
    </row>
    <row r="23" spans="1:5" x14ac:dyDescent="0.45">
      <c r="A23" s="11"/>
      <c r="B23" s="11"/>
      <c r="C23" s="11"/>
      <c r="D23" s="11"/>
      <c r="E23" s="11"/>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sheetData>
  <mergeCells count="1">
    <mergeCell ref="A3:B3"/>
  </mergeCells>
  <conditionalFormatting sqref="A20">
    <cfRule type="cellIs" dxfId="35" priority="1" operator="greaterThan">
      <formula>1</formula>
    </cfRule>
    <cfRule type="cellIs" dxfId="34" priority="2" operator="lessThan">
      <formula>1</formula>
    </cfRule>
  </conditionalFormatting>
  <dataValidations count="3">
    <dataValidation type="list" allowBlank="1" showInputMessage="1" showErrorMessage="1" sqref="D5:D9" xr:uid="{00000000-0002-0000-0A00-000000000000}">
      <formula1>Likert_Scale</formula1>
    </dataValidation>
    <dataValidation type="list" allowBlank="1" showInputMessage="1" showErrorMessage="1" sqref="D10:D13" xr:uid="{00000000-0002-0000-0A00-000001000000}">
      <formula1>Boolean_Scale</formula1>
    </dataValidation>
    <dataValidation type="list" allowBlank="1" showInputMessage="1" showErrorMessage="1" sqref="A5:A13" xr:uid="{00000000-0002-0000-0A00-000003000000}">
      <formula1>"Ja,Nein"</formula1>
    </dataValidation>
  </dataValidations>
  <pageMargins left="0.39370078740157483" right="0.39370078740157483" top="0.98425196850393704" bottom="0.78740157480314965" header="0.11811023622047245" footer="0.11811023622047245"/>
  <pageSetup paperSize="9" scale="84" orientation="landscape" r:id="rId1"/>
  <headerFooter>
    <oddHeader xml:space="preserve">&amp;L&amp;G
&amp;C&amp;14
&amp;16&amp;A&amp;R
&amp;G </oddHeader>
    <oddFooter>&amp;L&amp;F&amp;C&amp;P von &amp;N&amp;R&amp;D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9">
    <tabColor rgb="FF0070C0"/>
    <pageSetUpPr fitToPage="1"/>
  </sheetPr>
  <dimension ref="A1:F235"/>
  <sheetViews>
    <sheetView topLeftCell="A5" zoomScale="133" zoomScaleNormal="100" zoomScaleSheetLayoutView="100" workbookViewId="0">
      <selection activeCell="C12" sqref="C12"/>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16384" width="80.265625" style="8"/>
  </cols>
  <sheetData>
    <row r="1" spans="1:6" s="11" customFormat="1" ht="15.75" x14ac:dyDescent="0.5">
      <c r="A1" s="1" t="s">
        <v>101</v>
      </c>
      <c r="B1" s="2"/>
      <c r="C1" s="3"/>
      <c r="D1" s="4"/>
      <c r="E1" s="4"/>
    </row>
    <row r="2" spans="1:6" x14ac:dyDescent="0.45">
      <c r="A2" s="30"/>
      <c r="B2" s="30"/>
      <c r="C2" s="30"/>
      <c r="D2" s="30"/>
      <c r="E2" s="30"/>
    </row>
    <row r="3" spans="1:6" s="11" customFormat="1" ht="13.15" x14ac:dyDescent="0.4">
      <c r="A3" s="360"/>
      <c r="B3" s="360"/>
      <c r="C3" s="45"/>
      <c r="D3" s="9"/>
      <c r="E3" s="10"/>
    </row>
    <row r="4" spans="1:6" ht="39.4" x14ac:dyDescent="0.45">
      <c r="A4" s="277" t="s">
        <v>9</v>
      </c>
      <c r="B4" s="277" t="s">
        <v>20</v>
      </c>
      <c r="C4" s="278" t="s">
        <v>185</v>
      </c>
      <c r="D4" s="278" t="s">
        <v>22</v>
      </c>
      <c r="E4" s="278" t="s">
        <v>23</v>
      </c>
    </row>
    <row r="5" spans="1:6" ht="39.4" x14ac:dyDescent="0.45">
      <c r="A5" s="309" t="s">
        <v>10</v>
      </c>
      <c r="B5" s="31">
        <f t="shared" ref="B5:B14" si="0">IF(A5="Nein", 0, $A$19)</f>
        <v>0.14285714285714285</v>
      </c>
      <c r="C5" s="55" t="s">
        <v>97</v>
      </c>
      <c r="D5" s="32" t="s">
        <v>25</v>
      </c>
      <c r="E5" s="33"/>
    </row>
    <row r="6" spans="1:6" ht="26.25" x14ac:dyDescent="0.45">
      <c r="A6" s="309" t="s">
        <v>10</v>
      </c>
      <c r="B6" s="31">
        <f t="shared" si="0"/>
        <v>0.14285714285714285</v>
      </c>
      <c r="C6" s="55" t="s">
        <v>96</v>
      </c>
      <c r="D6" s="32" t="s">
        <v>16</v>
      </c>
      <c r="E6" s="33"/>
    </row>
    <row r="7" spans="1:6" ht="78.75" x14ac:dyDescent="0.45">
      <c r="A7" s="309" t="s">
        <v>16</v>
      </c>
      <c r="B7" s="31">
        <f t="shared" si="0"/>
        <v>0</v>
      </c>
      <c r="C7" s="55" t="s">
        <v>68</v>
      </c>
      <c r="D7" s="32" t="s">
        <v>14</v>
      </c>
      <c r="E7" s="33"/>
    </row>
    <row r="8" spans="1:6" ht="39.4" x14ac:dyDescent="0.45">
      <c r="A8" s="309" t="s">
        <v>10</v>
      </c>
      <c r="B8" s="31">
        <f t="shared" si="0"/>
        <v>0.14285714285714285</v>
      </c>
      <c r="C8" s="55" t="s">
        <v>73</v>
      </c>
      <c r="D8" s="32" t="s">
        <v>16</v>
      </c>
      <c r="E8" s="33"/>
    </row>
    <row r="9" spans="1:6" ht="39.4" x14ac:dyDescent="0.45">
      <c r="A9" s="309" t="s">
        <v>10</v>
      </c>
      <c r="B9" s="31">
        <f t="shared" si="0"/>
        <v>0.14285714285714285</v>
      </c>
      <c r="C9" s="55" t="s">
        <v>66</v>
      </c>
      <c r="D9" s="32" t="s">
        <v>25</v>
      </c>
      <c r="E9" s="33"/>
      <c r="F9" s="49"/>
    </row>
    <row r="10" spans="1:6" ht="26.25" x14ac:dyDescent="0.45">
      <c r="A10" s="309" t="s">
        <v>10</v>
      </c>
      <c r="B10" s="31">
        <f t="shared" si="0"/>
        <v>0.14285714285714285</v>
      </c>
      <c r="C10" s="55" t="s">
        <v>64</v>
      </c>
      <c r="D10" s="32" t="s">
        <v>16</v>
      </c>
      <c r="E10" s="33"/>
    </row>
    <row r="11" spans="1:6" ht="39.4" x14ac:dyDescent="0.45">
      <c r="A11" s="309" t="s">
        <v>10</v>
      </c>
      <c r="B11" s="31">
        <f t="shared" si="0"/>
        <v>0.14285714285714285</v>
      </c>
      <c r="C11" s="55" t="s">
        <v>65</v>
      </c>
      <c r="D11" s="32" t="s">
        <v>14</v>
      </c>
      <c r="E11" s="33"/>
    </row>
    <row r="12" spans="1:6" ht="52.5" x14ac:dyDescent="0.45">
      <c r="A12" s="309" t="s">
        <v>10</v>
      </c>
      <c r="B12" s="31">
        <f t="shared" ref="B12" si="1">IF(A12="Nein", 0, $A$19)</f>
        <v>0.14285714285714285</v>
      </c>
      <c r="C12" s="55" t="s">
        <v>125</v>
      </c>
      <c r="D12" s="32" t="s">
        <v>14</v>
      </c>
      <c r="E12" s="33"/>
    </row>
    <row r="13" spans="1:6" x14ac:dyDescent="0.45">
      <c r="A13" s="309" t="s">
        <v>16</v>
      </c>
      <c r="B13" s="31">
        <f t="shared" si="0"/>
        <v>0</v>
      </c>
      <c r="C13" s="310"/>
      <c r="D13" s="32" t="s">
        <v>10</v>
      </c>
      <c r="E13" s="33"/>
    </row>
    <row r="14" spans="1:6" x14ac:dyDescent="0.45">
      <c r="A14" s="309" t="s">
        <v>16</v>
      </c>
      <c r="B14" s="31">
        <f t="shared" si="0"/>
        <v>0</v>
      </c>
      <c r="C14" s="310"/>
      <c r="D14" s="32" t="s">
        <v>10</v>
      </c>
      <c r="E14" s="33"/>
    </row>
    <row r="15" spans="1:6" s="11" customFormat="1" ht="13.15" x14ac:dyDescent="0.4">
      <c r="A15" s="40"/>
      <c r="B15" s="40"/>
      <c r="C15" s="40"/>
      <c r="D15" s="40"/>
      <c r="E15" s="40"/>
    </row>
    <row r="16" spans="1:6" x14ac:dyDescent="0.45">
      <c r="A16" s="41" t="s">
        <v>17</v>
      </c>
      <c r="B16" s="40"/>
      <c r="C16" s="40"/>
      <c r="D16" s="40"/>
      <c r="E16" s="40"/>
    </row>
    <row r="17" spans="1:5" x14ac:dyDescent="0.45">
      <c r="A17" s="37">
        <f>COUNTIF(A5:A14, "Ja")</f>
        <v>7</v>
      </c>
      <c r="B17" s="40"/>
      <c r="C17" s="40"/>
      <c r="D17" s="40"/>
      <c r="E17" s="40"/>
    </row>
    <row r="18" spans="1:5" x14ac:dyDescent="0.45">
      <c r="A18" s="41" t="s">
        <v>21</v>
      </c>
      <c r="B18" s="40"/>
      <c r="C18" s="40"/>
      <c r="D18" s="40"/>
      <c r="E18" s="40"/>
    </row>
    <row r="19" spans="1:5" x14ac:dyDescent="0.45">
      <c r="A19" s="39">
        <f>1/A17</f>
        <v>0.14285714285714285</v>
      </c>
      <c r="B19" s="40"/>
      <c r="C19" s="40"/>
      <c r="D19" s="40"/>
      <c r="E19" s="40"/>
    </row>
    <row r="20" spans="1:5" x14ac:dyDescent="0.45">
      <c r="A20" s="41" t="s">
        <v>19</v>
      </c>
      <c r="B20" s="40"/>
      <c r="C20" s="40"/>
      <c r="D20" s="40"/>
      <c r="E20" s="40"/>
    </row>
    <row r="21" spans="1:5" x14ac:dyDescent="0.45">
      <c r="A21" s="39">
        <f>SUM(B5:B14)</f>
        <v>0.99999999999999978</v>
      </c>
      <c r="B21" s="40"/>
      <c r="C21" s="40"/>
      <c r="D21" s="40"/>
      <c r="E21" s="40"/>
    </row>
    <row r="22" spans="1:5" x14ac:dyDescent="0.45">
      <c r="A22" s="11"/>
      <c r="B22" s="11"/>
      <c r="C22" s="11"/>
      <c r="D22" s="11"/>
      <c r="E22" s="11"/>
    </row>
    <row r="23" spans="1:5" x14ac:dyDescent="0.45">
      <c r="A23" s="11"/>
      <c r="B23" s="11"/>
      <c r="C23" s="11"/>
      <c r="D23" s="11"/>
      <c r="E23" s="11"/>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row r="235" spans="1:5" x14ac:dyDescent="0.45">
      <c r="A235" s="11"/>
      <c r="B235" s="11"/>
      <c r="C235" s="11"/>
      <c r="D235" s="11"/>
      <c r="E235" s="11"/>
    </row>
  </sheetData>
  <mergeCells count="1">
    <mergeCell ref="A3:B3"/>
  </mergeCells>
  <conditionalFormatting sqref="A21">
    <cfRule type="cellIs" dxfId="33" priority="1" operator="greaterThan">
      <formula>1</formula>
    </cfRule>
    <cfRule type="cellIs" dxfId="32" priority="2" operator="lessThan">
      <formula>1</formula>
    </cfRule>
  </conditionalFormatting>
  <dataValidations count="3">
    <dataValidation type="list" allowBlank="1" showInputMessage="1" showErrorMessage="1" sqref="D6 D10 D8 D13:D14" xr:uid="{00000000-0002-0000-0B00-000000000000}">
      <formula1>Boolean_Scale</formula1>
    </dataValidation>
    <dataValidation type="list" allowBlank="1" showInputMessage="1" showErrorMessage="1" sqref="D9 D5 D7 D11:D12" xr:uid="{00000000-0002-0000-0B00-000001000000}">
      <formula1>Likert_Scale</formula1>
    </dataValidation>
    <dataValidation type="list" allowBlank="1" showInputMessage="1" showErrorMessage="1" sqref="A5:A14" xr:uid="{00000000-0002-0000-0B00-000003000000}">
      <formula1>"Ja,Nein"</formula1>
    </dataValidation>
  </dataValidations>
  <pageMargins left="0.39370078740157483" right="0.39370078740157483" top="0.98425196850393704" bottom="0.78740157480314965" header="0.11811023622047245" footer="0.11811023622047245"/>
  <pageSetup paperSize="9" scale="83" orientation="landscape" r:id="rId1"/>
  <headerFooter>
    <oddHeader xml:space="preserve">&amp;L&amp;G
&amp;C&amp;14
&amp;16&amp;A&amp;R
&amp;G </oddHeader>
    <oddFooter>&amp;L&amp;F&amp;C&amp;P von &amp;N&amp;R&amp;D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8">
    <tabColor rgb="FF0070C0"/>
    <pageSetUpPr fitToPage="1"/>
  </sheetPr>
  <dimension ref="A1:E259"/>
  <sheetViews>
    <sheetView topLeftCell="A8" zoomScale="150" zoomScaleNormal="150" zoomScaleSheetLayoutView="100" workbookViewId="0">
      <selection activeCell="C11" sqref="C11"/>
    </sheetView>
  </sheetViews>
  <sheetFormatPr baseColWidth="10" defaultColWidth="80.265625" defaultRowHeight="14.25" zeroHeight="1"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16384" width="80.265625" style="8"/>
  </cols>
  <sheetData>
    <row r="1" spans="1:5" s="11" customFormat="1" ht="15.75" x14ac:dyDescent="0.5">
      <c r="A1" s="1" t="s">
        <v>102</v>
      </c>
      <c r="B1" s="2"/>
      <c r="C1" s="3"/>
      <c r="D1" s="4"/>
      <c r="E1" s="4"/>
    </row>
    <row r="2" spans="1:5" x14ac:dyDescent="0.45">
      <c r="A2" s="30"/>
      <c r="B2" s="30"/>
      <c r="C2" s="30"/>
      <c r="D2" s="30"/>
      <c r="E2" s="30"/>
    </row>
    <row r="3" spans="1:5" s="11" customFormat="1" ht="13.15" x14ac:dyDescent="0.4">
      <c r="A3" s="360"/>
      <c r="B3" s="360"/>
      <c r="C3" s="43"/>
      <c r="D3" s="9"/>
      <c r="E3" s="10"/>
    </row>
    <row r="4" spans="1:5" ht="39.4" x14ac:dyDescent="0.45">
      <c r="A4" s="277" t="s">
        <v>9</v>
      </c>
      <c r="B4" s="277" t="s">
        <v>20</v>
      </c>
      <c r="C4" s="278" t="s">
        <v>185</v>
      </c>
      <c r="D4" s="278" t="s">
        <v>22</v>
      </c>
      <c r="E4" s="278" t="s">
        <v>23</v>
      </c>
    </row>
    <row r="5" spans="1:5" ht="65.650000000000006" x14ac:dyDescent="0.45">
      <c r="A5" s="309" t="s">
        <v>10</v>
      </c>
      <c r="B5" s="52">
        <f t="shared" ref="B5:B13" si="0">IF(A5="Nein", 0, $A$18)</f>
        <v>0.14285714285714285</v>
      </c>
      <c r="C5" s="54" t="s">
        <v>129</v>
      </c>
      <c r="D5" s="53" t="s">
        <v>10</v>
      </c>
      <c r="E5" s="33"/>
    </row>
    <row r="6" spans="1:5" ht="91.9" x14ac:dyDescent="0.45">
      <c r="A6" s="309" t="s">
        <v>10</v>
      </c>
      <c r="B6" s="52">
        <f t="shared" si="0"/>
        <v>0.14285714285714285</v>
      </c>
      <c r="C6" s="54" t="s">
        <v>130</v>
      </c>
      <c r="D6" s="53" t="s">
        <v>10</v>
      </c>
      <c r="E6" s="33"/>
    </row>
    <row r="7" spans="1:5" ht="105" x14ac:dyDescent="0.45">
      <c r="A7" s="309" t="s">
        <v>10</v>
      </c>
      <c r="B7" s="52">
        <f t="shared" si="0"/>
        <v>0.14285714285714285</v>
      </c>
      <c r="C7" s="54" t="s">
        <v>131</v>
      </c>
      <c r="D7" s="53" t="s">
        <v>10</v>
      </c>
      <c r="E7" s="33"/>
    </row>
    <row r="8" spans="1:5" ht="65.650000000000006" x14ac:dyDescent="0.45">
      <c r="A8" s="309" t="s">
        <v>10</v>
      </c>
      <c r="B8" s="52">
        <f t="shared" si="0"/>
        <v>0.14285714285714285</v>
      </c>
      <c r="C8" s="54" t="s">
        <v>132</v>
      </c>
      <c r="D8" s="53" t="s">
        <v>10</v>
      </c>
      <c r="E8" s="33"/>
    </row>
    <row r="9" spans="1:5" ht="78.75" x14ac:dyDescent="0.45">
      <c r="A9" s="309" t="s">
        <v>10</v>
      </c>
      <c r="B9" s="52">
        <f t="shared" si="0"/>
        <v>0.14285714285714285</v>
      </c>
      <c r="C9" s="54" t="s">
        <v>133</v>
      </c>
      <c r="D9" s="53" t="s">
        <v>10</v>
      </c>
      <c r="E9" s="33"/>
    </row>
    <row r="10" spans="1:5" ht="65.650000000000006" x14ac:dyDescent="0.45">
      <c r="A10" s="309" t="s">
        <v>10</v>
      </c>
      <c r="B10" s="52">
        <f t="shared" si="0"/>
        <v>0.14285714285714285</v>
      </c>
      <c r="C10" s="54" t="s">
        <v>67</v>
      </c>
      <c r="D10" s="53" t="s">
        <v>10</v>
      </c>
      <c r="E10" s="33"/>
    </row>
    <row r="11" spans="1:5" ht="78.75" x14ac:dyDescent="0.45">
      <c r="A11" s="309" t="s">
        <v>10</v>
      </c>
      <c r="B11" s="52">
        <f t="shared" ref="B11" si="1">IF(A11="Nein", 0, $A$18)</f>
        <v>0.14285714285714285</v>
      </c>
      <c r="C11" s="54" t="s">
        <v>232</v>
      </c>
      <c r="D11" s="131" t="s">
        <v>14</v>
      </c>
      <c r="E11" s="33"/>
    </row>
    <row r="12" spans="1:5" x14ac:dyDescent="0.45">
      <c r="A12" s="309" t="s">
        <v>16</v>
      </c>
      <c r="B12" s="52">
        <f t="shared" si="0"/>
        <v>0</v>
      </c>
      <c r="C12" s="312"/>
      <c r="D12" s="32" t="s">
        <v>10</v>
      </c>
      <c r="E12" s="33"/>
    </row>
    <row r="13" spans="1:5" x14ac:dyDescent="0.45">
      <c r="A13" s="309" t="s">
        <v>16</v>
      </c>
      <c r="B13" s="52">
        <f t="shared" si="0"/>
        <v>0</v>
      </c>
      <c r="C13" s="312"/>
      <c r="D13" s="32" t="s">
        <v>10</v>
      </c>
      <c r="E13" s="33"/>
    </row>
    <row r="14" spans="1:5" x14ac:dyDescent="0.45">
      <c r="A14" s="34"/>
      <c r="B14" s="34"/>
      <c r="C14" s="34"/>
      <c r="D14" s="34"/>
      <c r="E14" s="34"/>
    </row>
    <row r="15" spans="1:5" x14ac:dyDescent="0.45">
      <c r="A15" s="35" t="s">
        <v>17</v>
      </c>
      <c r="B15" s="36"/>
      <c r="C15" s="36"/>
      <c r="D15" s="36"/>
      <c r="E15" s="36"/>
    </row>
    <row r="16" spans="1:5" x14ac:dyDescent="0.45">
      <c r="A16" s="37">
        <f>COUNTIF(A5:A13, "Ja")</f>
        <v>7</v>
      </c>
      <c r="B16" s="18"/>
      <c r="C16" s="36"/>
      <c r="D16" s="36"/>
      <c r="E16" s="36"/>
    </row>
    <row r="17" spans="1:5" x14ac:dyDescent="0.45">
      <c r="A17" s="38" t="s">
        <v>18</v>
      </c>
      <c r="B17" s="36"/>
      <c r="C17" s="36"/>
      <c r="D17" s="36"/>
      <c r="E17" s="36"/>
    </row>
    <row r="18" spans="1:5" x14ac:dyDescent="0.45">
      <c r="A18" s="39">
        <f>1/A16</f>
        <v>0.14285714285714285</v>
      </c>
      <c r="B18" s="18"/>
      <c r="C18" s="36"/>
      <c r="D18" s="36"/>
      <c r="E18" s="36"/>
    </row>
    <row r="19" spans="1:5" x14ac:dyDescent="0.45">
      <c r="A19" s="38" t="s">
        <v>6</v>
      </c>
      <c r="B19" s="36"/>
      <c r="C19" s="36"/>
      <c r="D19" s="36"/>
      <c r="E19" s="36"/>
    </row>
    <row r="20" spans="1:5" x14ac:dyDescent="0.45">
      <c r="A20" s="56">
        <f>SUM(B5:B13)</f>
        <v>0.99999999999999978</v>
      </c>
      <c r="B20" s="18"/>
      <c r="C20" s="36"/>
      <c r="D20" s="36"/>
      <c r="E20" s="36"/>
    </row>
    <row r="21" spans="1:5" x14ac:dyDescent="0.45">
      <c r="A21" s="11"/>
      <c r="B21" s="11"/>
      <c r="C21" s="11"/>
      <c r="D21" s="11"/>
      <c r="E21" s="11"/>
    </row>
    <row r="22" spans="1:5" x14ac:dyDescent="0.45">
      <c r="A22" s="11"/>
      <c r="B22" s="11"/>
      <c r="C22" s="11"/>
      <c r="D22" s="11"/>
      <c r="E22" s="11"/>
    </row>
    <row r="23" spans="1:5" x14ac:dyDescent="0.45">
      <c r="A23" s="11"/>
      <c r="B23" s="11"/>
      <c r="C23" s="11"/>
      <c r="D23" s="11"/>
      <c r="E23" s="11"/>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row r="235" spans="1:5" x14ac:dyDescent="0.45"/>
    <row r="236" spans="1:5" x14ac:dyDescent="0.45"/>
    <row r="237" spans="1:5" x14ac:dyDescent="0.45"/>
    <row r="238" spans="1:5" x14ac:dyDescent="0.45"/>
    <row r="239" spans="1:5" x14ac:dyDescent="0.45"/>
    <row r="240" spans="1:5" x14ac:dyDescent="0.45"/>
    <row r="241" x14ac:dyDescent="0.45"/>
    <row r="242" x14ac:dyDescent="0.45"/>
    <row r="243" x14ac:dyDescent="0.45"/>
    <row r="244" x14ac:dyDescent="0.45"/>
    <row r="245" x14ac:dyDescent="0.45"/>
    <row r="246" x14ac:dyDescent="0.45"/>
    <row r="247" x14ac:dyDescent="0.45"/>
    <row r="248" x14ac:dyDescent="0.45"/>
    <row r="249" x14ac:dyDescent="0.45"/>
    <row r="250" x14ac:dyDescent="0.45"/>
    <row r="251" x14ac:dyDescent="0.45"/>
    <row r="252" x14ac:dyDescent="0.45"/>
    <row r="253" x14ac:dyDescent="0.45"/>
    <row r="254" x14ac:dyDescent="0.45"/>
    <row r="255" x14ac:dyDescent="0.45"/>
    <row r="256" x14ac:dyDescent="0.45"/>
    <row r="257" x14ac:dyDescent="0.45"/>
    <row r="258" x14ac:dyDescent="0.45"/>
    <row r="259" x14ac:dyDescent="0.45"/>
  </sheetData>
  <mergeCells count="1">
    <mergeCell ref="A3:B3"/>
  </mergeCells>
  <conditionalFormatting sqref="A20">
    <cfRule type="cellIs" dxfId="31" priority="1" operator="greaterThan">
      <formula>1</formula>
    </cfRule>
    <cfRule type="cellIs" dxfId="30" priority="2" operator="lessThan">
      <formula>1</formula>
    </cfRule>
  </conditionalFormatting>
  <dataValidations count="3">
    <dataValidation type="list" allowBlank="1" showInputMessage="1" showErrorMessage="1" sqref="D5:D10 D12:D13" xr:uid="{00000000-0002-0000-0C00-000000000000}">
      <formula1>Boolean_Scale</formula1>
    </dataValidation>
    <dataValidation type="list" allowBlank="1" showInputMessage="1" showErrorMessage="1" sqref="A5:A13" xr:uid="{00000000-0002-0000-0C00-000001000000}">
      <formula1>"Ja,Nein"</formula1>
    </dataValidation>
    <dataValidation type="list" allowBlank="1" showInputMessage="1" showErrorMessage="1" sqref="D11" xr:uid="{00000000-0002-0000-0C00-000003000000}">
      <formula1>Likert_Scale</formula1>
    </dataValidation>
  </dataValidations>
  <pageMargins left="0.39370078740157483" right="0.39370078740157483" top="0.98425196850393704" bottom="0.78740157480314965" header="0.11811023622047245" footer="0.11811023622047245"/>
  <pageSetup paperSize="9" scale="60" orientation="landscape" r:id="rId1"/>
  <headerFooter>
    <oddHeader xml:space="preserve">&amp;L&amp;G
&amp;C&amp;14
&amp;16&amp;A&amp;R
&amp;G </oddHeader>
    <oddFooter>&amp;L&amp;F&amp;C&amp;P von &amp;N&amp;R&amp;D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2">
    <tabColor rgb="FF00B050"/>
    <pageSetUpPr fitToPage="1"/>
  </sheetPr>
  <dimension ref="A1:E124"/>
  <sheetViews>
    <sheetView topLeftCell="A8" zoomScale="138" zoomScaleNormal="100" zoomScaleSheetLayoutView="100" workbookViewId="0">
      <selection activeCell="D13" sqref="D13"/>
    </sheetView>
  </sheetViews>
  <sheetFormatPr baseColWidth="10" defaultColWidth="11.3984375" defaultRowHeight="14.25" x14ac:dyDescent="0.45"/>
  <cols>
    <col min="1" max="2" width="11.73046875" style="126" customWidth="1"/>
    <col min="3" max="3" width="80.265625" style="126" customWidth="1"/>
    <col min="4" max="4" width="20.3984375" style="126" customWidth="1"/>
    <col min="5" max="5" width="41.1328125" style="126" customWidth="1"/>
    <col min="6" max="6" width="37.86328125" style="126" customWidth="1"/>
    <col min="7" max="16384" width="11.3984375" style="126"/>
  </cols>
  <sheetData>
    <row r="1" spans="1:5" s="124" customFormat="1" ht="15.75" x14ac:dyDescent="0.5">
      <c r="A1" s="1" t="s">
        <v>103</v>
      </c>
      <c r="B1" s="121"/>
      <c r="C1" s="122"/>
      <c r="D1" s="123"/>
      <c r="E1" s="123"/>
    </row>
    <row r="2" spans="1:5" x14ac:dyDescent="0.45">
      <c r="A2" s="125"/>
      <c r="B2" s="125"/>
      <c r="C2" s="125"/>
      <c r="D2" s="125"/>
      <c r="E2" s="125"/>
    </row>
    <row r="3" spans="1:5" s="124" customFormat="1" ht="13.15" x14ac:dyDescent="0.4">
      <c r="A3" s="361"/>
      <c r="B3" s="361"/>
      <c r="C3" s="127"/>
      <c r="D3" s="128"/>
      <c r="E3" s="129"/>
    </row>
    <row r="4" spans="1:5" ht="39.4" x14ac:dyDescent="0.45">
      <c r="A4" s="277" t="s">
        <v>9</v>
      </c>
      <c r="B4" s="277" t="s">
        <v>20</v>
      </c>
      <c r="C4" s="278" t="s">
        <v>185</v>
      </c>
      <c r="D4" s="278" t="s">
        <v>22</v>
      </c>
      <c r="E4" s="278" t="s">
        <v>23</v>
      </c>
    </row>
    <row r="5" spans="1:5" ht="26.25" x14ac:dyDescent="0.45">
      <c r="A5" s="317" t="s">
        <v>10</v>
      </c>
      <c r="B5" s="130">
        <f t="shared" ref="B5:B15" si="0">IF(A5="Nein", 0, $A$20)</f>
        <v>0.1111111111111111</v>
      </c>
      <c r="C5" s="54" t="s">
        <v>223</v>
      </c>
      <c r="D5" s="32" t="s">
        <v>10</v>
      </c>
      <c r="E5" s="132"/>
    </row>
    <row r="6" spans="1:5" ht="78.75" x14ac:dyDescent="0.45">
      <c r="A6" s="317" t="s">
        <v>10</v>
      </c>
      <c r="B6" s="130">
        <f t="shared" si="0"/>
        <v>0.1111111111111111</v>
      </c>
      <c r="C6" s="54" t="s">
        <v>224</v>
      </c>
      <c r="D6" s="131" t="s">
        <v>12</v>
      </c>
      <c r="E6" s="132"/>
    </row>
    <row r="7" spans="1:5" ht="26.25" x14ac:dyDescent="0.45">
      <c r="A7" s="317" t="s">
        <v>10</v>
      </c>
      <c r="B7" s="130">
        <f t="shared" si="0"/>
        <v>0.1111111111111111</v>
      </c>
      <c r="C7" s="54" t="s">
        <v>225</v>
      </c>
      <c r="D7" s="131" t="s">
        <v>12</v>
      </c>
      <c r="E7" s="132"/>
    </row>
    <row r="8" spans="1:5" ht="52.5" x14ac:dyDescent="0.45">
      <c r="A8" s="317" t="s">
        <v>10</v>
      </c>
      <c r="B8" s="130">
        <f t="shared" si="0"/>
        <v>0.1111111111111111</v>
      </c>
      <c r="C8" s="54" t="s">
        <v>226</v>
      </c>
      <c r="D8" s="131" t="s">
        <v>14</v>
      </c>
      <c r="E8" s="132"/>
    </row>
    <row r="9" spans="1:5" ht="39.4" x14ac:dyDescent="0.45">
      <c r="A9" s="317" t="s">
        <v>10</v>
      </c>
      <c r="B9" s="130">
        <f t="shared" si="0"/>
        <v>0.1111111111111111</v>
      </c>
      <c r="C9" s="54" t="s">
        <v>227</v>
      </c>
      <c r="D9" s="131" t="s">
        <v>25</v>
      </c>
      <c r="E9" s="132"/>
    </row>
    <row r="10" spans="1:5" ht="39.4" x14ac:dyDescent="0.45">
      <c r="A10" s="317" t="s">
        <v>10</v>
      </c>
      <c r="B10" s="130">
        <f t="shared" si="0"/>
        <v>0.1111111111111111</v>
      </c>
      <c r="C10" s="54" t="s">
        <v>228</v>
      </c>
      <c r="D10" s="131" t="s">
        <v>25</v>
      </c>
      <c r="E10" s="132"/>
    </row>
    <row r="11" spans="1:5" ht="39.4" x14ac:dyDescent="0.45">
      <c r="A11" s="317" t="s">
        <v>10</v>
      </c>
      <c r="B11" s="130">
        <f t="shared" si="0"/>
        <v>0.1111111111111111</v>
      </c>
      <c r="C11" s="54" t="s">
        <v>229</v>
      </c>
      <c r="D11" s="131" t="s">
        <v>14</v>
      </c>
      <c r="E11" s="132"/>
    </row>
    <row r="12" spans="1:5" ht="26.25" x14ac:dyDescent="0.45">
      <c r="A12" s="317" t="s">
        <v>10</v>
      </c>
      <c r="B12" s="130">
        <f t="shared" si="0"/>
        <v>0.1111111111111111</v>
      </c>
      <c r="C12" s="54" t="s">
        <v>230</v>
      </c>
      <c r="D12" s="131" t="s">
        <v>25</v>
      </c>
      <c r="E12" s="132"/>
    </row>
    <row r="13" spans="1:5" ht="39.4" x14ac:dyDescent="0.45">
      <c r="A13" s="317" t="s">
        <v>10</v>
      </c>
      <c r="B13" s="130">
        <f t="shared" si="0"/>
        <v>0.1111111111111111</v>
      </c>
      <c r="C13" s="54" t="s">
        <v>231</v>
      </c>
      <c r="D13" s="131" t="s">
        <v>12</v>
      </c>
      <c r="E13" s="132"/>
    </row>
    <row r="14" spans="1:5" x14ac:dyDescent="0.45">
      <c r="A14" s="317" t="s">
        <v>16</v>
      </c>
      <c r="B14" s="130">
        <f t="shared" si="0"/>
        <v>0</v>
      </c>
      <c r="C14" s="313"/>
      <c r="D14" s="131" t="s">
        <v>10</v>
      </c>
      <c r="E14" s="133"/>
    </row>
    <row r="15" spans="1:5" x14ac:dyDescent="0.45">
      <c r="A15" s="317" t="s">
        <v>16</v>
      </c>
      <c r="B15" s="130">
        <f t="shared" si="0"/>
        <v>0</v>
      </c>
      <c r="C15" s="313"/>
      <c r="D15" s="131" t="s">
        <v>10</v>
      </c>
      <c r="E15" s="133"/>
    </row>
    <row r="16" spans="1:5" x14ac:dyDescent="0.45">
      <c r="A16" s="134"/>
      <c r="B16" s="134"/>
      <c r="C16" s="136"/>
      <c r="D16" s="134"/>
      <c r="E16" s="134"/>
    </row>
    <row r="17" spans="1:5" x14ac:dyDescent="0.45">
      <c r="A17" s="135" t="s">
        <v>17</v>
      </c>
      <c r="B17" s="136"/>
      <c r="C17" s="136"/>
      <c r="D17" s="136"/>
      <c r="E17" s="136"/>
    </row>
    <row r="18" spans="1:5" x14ac:dyDescent="0.45">
      <c r="A18" s="137">
        <f>COUNTIF(A5:A15, "Ja")</f>
        <v>9</v>
      </c>
      <c r="B18" s="138"/>
      <c r="C18" s="136"/>
      <c r="D18" s="136"/>
      <c r="E18" s="136"/>
    </row>
    <row r="19" spans="1:5" x14ac:dyDescent="0.45">
      <c r="A19" s="139" t="s">
        <v>18</v>
      </c>
      <c r="B19" s="136"/>
      <c r="C19" s="136"/>
      <c r="D19" s="136"/>
      <c r="E19" s="136"/>
    </row>
    <row r="20" spans="1:5" x14ac:dyDescent="0.45">
      <c r="A20" s="140">
        <f>1/A18</f>
        <v>0.1111111111111111</v>
      </c>
      <c r="B20" s="138"/>
      <c r="C20" s="136"/>
      <c r="D20" s="136"/>
      <c r="E20" s="136"/>
    </row>
    <row r="21" spans="1:5" x14ac:dyDescent="0.45">
      <c r="A21" s="139" t="s">
        <v>6</v>
      </c>
      <c r="B21" s="136"/>
      <c r="C21" s="136"/>
      <c r="D21" s="136"/>
      <c r="E21" s="136"/>
    </row>
    <row r="22" spans="1:5" x14ac:dyDescent="0.45">
      <c r="A22" s="140">
        <f>SUM(B5:B15)</f>
        <v>1.0000000000000002</v>
      </c>
      <c r="B22" s="138"/>
      <c r="C22" s="136"/>
      <c r="D22" s="136"/>
      <c r="E22" s="136"/>
    </row>
    <row r="23" spans="1:5" x14ac:dyDescent="0.45">
      <c r="A23" s="124"/>
      <c r="B23" s="124"/>
      <c r="C23" s="124"/>
      <c r="D23" s="124"/>
      <c r="E23" s="124"/>
    </row>
    <row r="24" spans="1:5" x14ac:dyDescent="0.45">
      <c r="A24" s="124"/>
      <c r="B24" s="124"/>
      <c r="C24" s="124"/>
      <c r="D24" s="124"/>
      <c r="E24" s="124"/>
    </row>
    <row r="25" spans="1:5" x14ac:dyDescent="0.45">
      <c r="A25" s="124"/>
      <c r="B25" s="124"/>
      <c r="C25" s="124"/>
      <c r="D25" s="124"/>
      <c r="E25" s="124"/>
    </row>
    <row r="26" spans="1:5" x14ac:dyDescent="0.45">
      <c r="A26" s="124"/>
      <c r="B26" s="124"/>
      <c r="C26" s="124"/>
      <c r="D26" s="124"/>
      <c r="E26" s="124"/>
    </row>
    <row r="27" spans="1:5" x14ac:dyDescent="0.45">
      <c r="A27" s="124"/>
      <c r="B27" s="124"/>
      <c r="C27" s="124"/>
      <c r="D27" s="124"/>
      <c r="E27" s="124"/>
    </row>
    <row r="28" spans="1:5" x14ac:dyDescent="0.45">
      <c r="A28" s="124"/>
      <c r="B28" s="124"/>
      <c r="C28" s="124"/>
      <c r="D28" s="124"/>
      <c r="E28" s="124"/>
    </row>
    <row r="29" spans="1:5" x14ac:dyDescent="0.45">
      <c r="A29" s="124"/>
      <c r="B29" s="124"/>
      <c r="C29" s="124"/>
      <c r="D29" s="124"/>
      <c r="E29" s="124"/>
    </row>
    <row r="30" spans="1:5" x14ac:dyDescent="0.45">
      <c r="A30" s="124"/>
      <c r="B30" s="124"/>
      <c r="C30" s="124"/>
      <c r="D30" s="124"/>
      <c r="E30" s="124"/>
    </row>
    <row r="31" spans="1:5" x14ac:dyDescent="0.45">
      <c r="A31" s="124"/>
      <c r="B31" s="124"/>
      <c r="C31" s="124"/>
      <c r="D31" s="124"/>
      <c r="E31" s="124"/>
    </row>
    <row r="32" spans="1:5" x14ac:dyDescent="0.45">
      <c r="A32" s="124"/>
      <c r="B32" s="124"/>
      <c r="C32" s="124"/>
      <c r="D32" s="124"/>
      <c r="E32" s="124"/>
    </row>
    <row r="33" spans="1:5" x14ac:dyDescent="0.45">
      <c r="A33" s="124"/>
      <c r="B33" s="124"/>
      <c r="C33" s="124"/>
      <c r="D33" s="124"/>
      <c r="E33" s="124"/>
    </row>
    <row r="34" spans="1:5" x14ac:dyDescent="0.45">
      <c r="A34" s="124"/>
      <c r="B34" s="124"/>
      <c r="C34" s="124"/>
      <c r="D34" s="124"/>
      <c r="E34" s="124"/>
    </row>
    <row r="35" spans="1:5" x14ac:dyDescent="0.45">
      <c r="A35" s="124"/>
      <c r="B35" s="124"/>
      <c r="C35" s="124"/>
      <c r="D35" s="124"/>
      <c r="E35" s="124"/>
    </row>
    <row r="36" spans="1:5" x14ac:dyDescent="0.45">
      <c r="A36" s="124"/>
      <c r="B36" s="124"/>
      <c r="C36" s="124"/>
      <c r="D36" s="124"/>
      <c r="E36" s="124"/>
    </row>
    <row r="37" spans="1:5" x14ac:dyDescent="0.45">
      <c r="A37" s="124"/>
      <c r="B37" s="124"/>
      <c r="C37" s="124"/>
      <c r="D37" s="124"/>
      <c r="E37" s="124"/>
    </row>
    <row r="38" spans="1:5" x14ac:dyDescent="0.45">
      <c r="A38" s="124"/>
      <c r="B38" s="124"/>
      <c r="C38" s="124"/>
      <c r="D38" s="124"/>
      <c r="E38" s="124"/>
    </row>
    <row r="39" spans="1:5" x14ac:dyDescent="0.45">
      <c r="A39" s="124"/>
      <c r="B39" s="124"/>
      <c r="C39" s="124"/>
      <c r="D39" s="124"/>
      <c r="E39" s="124"/>
    </row>
    <row r="40" spans="1:5" x14ac:dyDescent="0.45">
      <c r="A40" s="124"/>
      <c r="B40" s="124"/>
      <c r="C40" s="124"/>
      <c r="D40" s="124"/>
      <c r="E40" s="124"/>
    </row>
    <row r="41" spans="1:5" x14ac:dyDescent="0.45">
      <c r="A41" s="124"/>
      <c r="B41" s="124"/>
      <c r="C41" s="124"/>
      <c r="D41" s="124"/>
      <c r="E41" s="124"/>
    </row>
    <row r="42" spans="1:5" x14ac:dyDescent="0.45">
      <c r="A42" s="124"/>
      <c r="B42" s="124"/>
      <c r="C42" s="124"/>
      <c r="D42" s="124"/>
      <c r="E42" s="124"/>
    </row>
    <row r="43" spans="1:5" x14ac:dyDescent="0.45">
      <c r="A43" s="124"/>
      <c r="B43" s="124"/>
      <c r="C43" s="124"/>
      <c r="D43" s="124"/>
      <c r="E43" s="124"/>
    </row>
    <row r="44" spans="1:5" x14ac:dyDescent="0.45">
      <c r="A44" s="124"/>
      <c r="B44" s="124"/>
      <c r="C44" s="124"/>
      <c r="D44" s="124"/>
      <c r="E44" s="124"/>
    </row>
    <row r="45" spans="1:5" x14ac:dyDescent="0.45">
      <c r="A45" s="124"/>
      <c r="B45" s="124"/>
      <c r="C45" s="124"/>
      <c r="D45" s="124"/>
      <c r="E45" s="124"/>
    </row>
    <row r="46" spans="1:5" x14ac:dyDescent="0.45">
      <c r="A46" s="124"/>
      <c r="B46" s="124"/>
      <c r="C46" s="124"/>
      <c r="D46" s="124"/>
      <c r="E46" s="124"/>
    </row>
    <row r="47" spans="1:5" x14ac:dyDescent="0.45">
      <c r="A47" s="124"/>
      <c r="B47" s="124"/>
      <c r="C47" s="124"/>
      <c r="D47" s="124"/>
      <c r="E47" s="124"/>
    </row>
    <row r="48" spans="1:5" x14ac:dyDescent="0.45">
      <c r="A48" s="124"/>
      <c r="B48" s="124"/>
      <c r="C48" s="124"/>
      <c r="D48" s="124"/>
      <c r="E48" s="124"/>
    </row>
    <row r="49" spans="1:5" x14ac:dyDescent="0.45">
      <c r="A49" s="124"/>
      <c r="B49" s="124"/>
      <c r="C49" s="124"/>
      <c r="D49" s="124"/>
      <c r="E49" s="124"/>
    </row>
    <row r="50" spans="1:5" x14ac:dyDescent="0.45">
      <c r="A50" s="124"/>
      <c r="B50" s="124"/>
      <c r="C50" s="124"/>
      <c r="D50" s="124"/>
      <c r="E50" s="124"/>
    </row>
    <row r="51" spans="1:5" x14ac:dyDescent="0.45">
      <c r="A51" s="124"/>
      <c r="B51" s="124"/>
      <c r="C51" s="124"/>
      <c r="D51" s="124"/>
      <c r="E51" s="124"/>
    </row>
    <row r="52" spans="1:5" x14ac:dyDescent="0.45">
      <c r="A52" s="124"/>
      <c r="B52" s="124"/>
      <c r="C52" s="124"/>
      <c r="D52" s="124"/>
      <c r="E52" s="124"/>
    </row>
    <row r="53" spans="1:5" x14ac:dyDescent="0.45">
      <c r="A53" s="124"/>
      <c r="B53" s="124"/>
      <c r="C53" s="124"/>
      <c r="D53" s="124"/>
      <c r="E53" s="124"/>
    </row>
    <row r="54" spans="1:5" x14ac:dyDescent="0.45">
      <c r="A54" s="124"/>
      <c r="B54" s="124"/>
      <c r="C54" s="124"/>
      <c r="D54" s="124"/>
      <c r="E54" s="124"/>
    </row>
    <row r="55" spans="1:5" x14ac:dyDescent="0.45">
      <c r="A55" s="124"/>
      <c r="B55" s="124"/>
      <c r="C55" s="124"/>
      <c r="D55" s="124"/>
      <c r="E55" s="124"/>
    </row>
    <row r="56" spans="1:5" x14ac:dyDescent="0.45">
      <c r="A56" s="124"/>
      <c r="B56" s="124"/>
      <c r="C56" s="124"/>
      <c r="D56" s="124"/>
      <c r="E56" s="124"/>
    </row>
    <row r="57" spans="1:5" x14ac:dyDescent="0.45">
      <c r="A57" s="124"/>
      <c r="B57" s="124"/>
      <c r="C57" s="124"/>
      <c r="D57" s="124"/>
      <c r="E57" s="124"/>
    </row>
    <row r="58" spans="1:5" x14ac:dyDescent="0.45">
      <c r="A58" s="124"/>
      <c r="B58" s="124"/>
      <c r="C58" s="124"/>
      <c r="D58" s="124"/>
      <c r="E58" s="124"/>
    </row>
    <row r="59" spans="1:5" x14ac:dyDescent="0.45">
      <c r="A59" s="124"/>
      <c r="B59" s="124"/>
      <c r="C59" s="124"/>
      <c r="D59" s="124"/>
      <c r="E59" s="124"/>
    </row>
    <row r="60" spans="1:5" x14ac:dyDescent="0.45">
      <c r="A60" s="124"/>
      <c r="B60" s="124"/>
      <c r="C60" s="124"/>
      <c r="D60" s="124"/>
      <c r="E60" s="124"/>
    </row>
    <row r="61" spans="1:5" x14ac:dyDescent="0.45">
      <c r="A61" s="124"/>
      <c r="B61" s="124"/>
      <c r="C61" s="124"/>
      <c r="D61" s="124"/>
      <c r="E61" s="124"/>
    </row>
    <row r="62" spans="1:5" x14ac:dyDescent="0.45">
      <c r="A62" s="124"/>
      <c r="B62" s="124"/>
      <c r="C62" s="124"/>
      <c r="D62" s="124"/>
      <c r="E62" s="124"/>
    </row>
    <row r="63" spans="1:5" x14ac:dyDescent="0.45">
      <c r="A63" s="124"/>
      <c r="B63" s="124"/>
      <c r="C63" s="124"/>
      <c r="D63" s="124"/>
      <c r="E63" s="124"/>
    </row>
    <row r="64" spans="1:5" x14ac:dyDescent="0.45">
      <c r="A64" s="124"/>
      <c r="B64" s="124"/>
      <c r="C64" s="124"/>
      <c r="D64" s="124"/>
      <c r="E64" s="124"/>
    </row>
    <row r="65" spans="1:5" x14ac:dyDescent="0.45">
      <c r="A65" s="124"/>
      <c r="B65" s="124"/>
      <c r="C65" s="124"/>
      <c r="D65" s="124"/>
      <c r="E65" s="124"/>
    </row>
    <row r="66" spans="1:5" x14ac:dyDescent="0.45">
      <c r="A66" s="124"/>
      <c r="B66" s="124"/>
      <c r="C66" s="124"/>
      <c r="D66" s="124"/>
      <c r="E66" s="124"/>
    </row>
    <row r="67" spans="1:5" x14ac:dyDescent="0.45">
      <c r="A67" s="124"/>
      <c r="B67" s="124"/>
      <c r="C67" s="124"/>
      <c r="D67" s="124"/>
      <c r="E67" s="124"/>
    </row>
    <row r="68" spans="1:5" x14ac:dyDescent="0.45">
      <c r="A68" s="124"/>
      <c r="B68" s="124"/>
      <c r="C68" s="124"/>
      <c r="D68" s="124"/>
      <c r="E68" s="124"/>
    </row>
    <row r="69" spans="1:5" x14ac:dyDescent="0.45">
      <c r="A69" s="124"/>
      <c r="B69" s="124"/>
      <c r="C69" s="124"/>
      <c r="D69" s="124"/>
      <c r="E69" s="124"/>
    </row>
    <row r="70" spans="1:5" x14ac:dyDescent="0.45">
      <c r="A70" s="124"/>
      <c r="B70" s="124"/>
      <c r="C70" s="124"/>
      <c r="D70" s="124"/>
      <c r="E70" s="124"/>
    </row>
    <row r="71" spans="1:5" x14ac:dyDescent="0.45">
      <c r="A71" s="124"/>
      <c r="B71" s="124"/>
      <c r="C71" s="124"/>
      <c r="D71" s="124"/>
      <c r="E71" s="124"/>
    </row>
    <row r="72" spans="1:5" x14ac:dyDescent="0.45">
      <c r="A72" s="124"/>
      <c r="B72" s="124"/>
      <c r="C72" s="124"/>
      <c r="D72" s="124"/>
      <c r="E72" s="124"/>
    </row>
    <row r="73" spans="1:5" x14ac:dyDescent="0.45">
      <c r="A73" s="124"/>
      <c r="B73" s="124"/>
      <c r="C73" s="124"/>
      <c r="D73" s="124"/>
      <c r="E73" s="124"/>
    </row>
    <row r="74" spans="1:5" x14ac:dyDescent="0.45">
      <c r="A74" s="124"/>
      <c r="B74" s="124"/>
      <c r="C74" s="124"/>
      <c r="D74" s="124"/>
      <c r="E74" s="124"/>
    </row>
    <row r="75" spans="1:5" x14ac:dyDescent="0.45">
      <c r="A75" s="124"/>
      <c r="B75" s="124"/>
      <c r="C75" s="124"/>
      <c r="D75" s="124"/>
      <c r="E75" s="124"/>
    </row>
    <row r="76" spans="1:5" x14ac:dyDescent="0.45">
      <c r="A76" s="124"/>
      <c r="B76" s="124"/>
      <c r="C76" s="124"/>
      <c r="D76" s="124"/>
      <c r="E76" s="124"/>
    </row>
    <row r="77" spans="1:5" x14ac:dyDescent="0.45">
      <c r="A77" s="124"/>
      <c r="B77" s="124"/>
      <c r="C77" s="124"/>
      <c r="D77" s="124"/>
      <c r="E77" s="124"/>
    </row>
    <row r="78" spans="1:5" x14ac:dyDescent="0.45">
      <c r="A78" s="124"/>
      <c r="B78" s="124"/>
      <c r="C78" s="124"/>
      <c r="D78" s="124"/>
      <c r="E78" s="124"/>
    </row>
    <row r="79" spans="1:5" x14ac:dyDescent="0.45">
      <c r="A79" s="124"/>
      <c r="B79" s="124"/>
      <c r="C79" s="124"/>
      <c r="D79" s="124"/>
      <c r="E79" s="124"/>
    </row>
    <row r="80" spans="1:5" x14ac:dyDescent="0.45">
      <c r="A80" s="124"/>
      <c r="B80" s="124"/>
      <c r="C80" s="124"/>
      <c r="D80" s="124"/>
      <c r="E80" s="124"/>
    </row>
    <row r="81" spans="1:5" x14ac:dyDescent="0.45">
      <c r="A81" s="124"/>
      <c r="B81" s="124"/>
      <c r="C81" s="124"/>
      <c r="D81" s="124"/>
      <c r="E81" s="124"/>
    </row>
    <row r="82" spans="1:5" x14ac:dyDescent="0.45">
      <c r="A82" s="124"/>
      <c r="B82" s="124"/>
      <c r="C82" s="124"/>
      <c r="D82" s="124"/>
      <c r="E82" s="124"/>
    </row>
    <row r="83" spans="1:5" x14ac:dyDescent="0.45">
      <c r="A83" s="124"/>
      <c r="B83" s="124"/>
      <c r="C83" s="124"/>
      <c r="D83" s="124"/>
      <c r="E83" s="124"/>
    </row>
    <row r="84" spans="1:5" x14ac:dyDescent="0.45">
      <c r="A84" s="124"/>
      <c r="B84" s="124"/>
      <c r="C84" s="124"/>
      <c r="D84" s="124"/>
      <c r="E84" s="124"/>
    </row>
    <row r="85" spans="1:5" x14ac:dyDescent="0.45">
      <c r="A85" s="124"/>
      <c r="B85" s="124"/>
      <c r="C85" s="124"/>
      <c r="D85" s="124"/>
      <c r="E85" s="124"/>
    </row>
    <row r="86" spans="1:5" x14ac:dyDescent="0.45">
      <c r="A86" s="124"/>
      <c r="B86" s="124"/>
      <c r="C86" s="124"/>
      <c r="D86" s="124"/>
      <c r="E86" s="124"/>
    </row>
    <row r="87" spans="1:5" x14ac:dyDescent="0.45">
      <c r="A87" s="124"/>
      <c r="B87" s="124"/>
      <c r="C87" s="124"/>
      <c r="D87" s="124"/>
      <c r="E87" s="124"/>
    </row>
    <row r="88" spans="1:5" x14ac:dyDescent="0.45">
      <c r="A88" s="124"/>
      <c r="B88" s="124"/>
      <c r="C88" s="124"/>
      <c r="D88" s="124"/>
      <c r="E88" s="124"/>
    </row>
    <row r="89" spans="1:5" x14ac:dyDescent="0.45">
      <c r="A89" s="124"/>
      <c r="B89" s="124"/>
      <c r="C89" s="124"/>
      <c r="D89" s="124"/>
      <c r="E89" s="124"/>
    </row>
    <row r="90" spans="1:5" x14ac:dyDescent="0.45">
      <c r="A90" s="124"/>
      <c r="B90" s="124"/>
      <c r="C90" s="124"/>
      <c r="D90" s="124"/>
      <c r="E90" s="124"/>
    </row>
    <row r="91" spans="1:5" x14ac:dyDescent="0.45">
      <c r="A91" s="124"/>
      <c r="B91" s="124"/>
      <c r="C91" s="124"/>
      <c r="D91" s="124"/>
      <c r="E91" s="124"/>
    </row>
    <row r="92" spans="1:5" x14ac:dyDescent="0.45">
      <c r="A92" s="124"/>
      <c r="B92" s="124"/>
      <c r="C92" s="124"/>
      <c r="D92" s="124"/>
      <c r="E92" s="124"/>
    </row>
    <row r="93" spans="1:5" x14ac:dyDescent="0.45">
      <c r="A93" s="124"/>
      <c r="B93" s="124"/>
      <c r="C93" s="124"/>
      <c r="D93" s="124"/>
      <c r="E93" s="124"/>
    </row>
    <row r="94" spans="1:5" x14ac:dyDescent="0.45">
      <c r="A94" s="124"/>
      <c r="B94" s="124"/>
      <c r="C94" s="124"/>
      <c r="D94" s="124"/>
      <c r="E94" s="124"/>
    </row>
    <row r="95" spans="1:5" x14ac:dyDescent="0.45">
      <c r="A95" s="124"/>
      <c r="B95" s="124"/>
      <c r="C95" s="124"/>
      <c r="D95" s="124"/>
      <c r="E95" s="124"/>
    </row>
    <row r="96" spans="1:5" x14ac:dyDescent="0.45">
      <c r="A96" s="124"/>
      <c r="B96" s="124"/>
      <c r="C96" s="124"/>
      <c r="D96" s="124"/>
      <c r="E96" s="124"/>
    </row>
    <row r="97" spans="1:5" x14ac:dyDescent="0.45">
      <c r="A97" s="124"/>
      <c r="B97" s="124"/>
      <c r="C97" s="124"/>
      <c r="D97" s="124"/>
      <c r="E97" s="124"/>
    </row>
    <row r="98" spans="1:5" x14ac:dyDescent="0.45">
      <c r="A98" s="124"/>
      <c r="B98" s="124"/>
      <c r="C98" s="124"/>
      <c r="D98" s="124"/>
      <c r="E98" s="124"/>
    </row>
    <row r="99" spans="1:5" x14ac:dyDescent="0.45">
      <c r="A99" s="124"/>
      <c r="B99" s="124"/>
      <c r="C99" s="124"/>
      <c r="D99" s="124"/>
      <c r="E99" s="124"/>
    </row>
    <row r="100" spans="1:5" x14ac:dyDescent="0.45">
      <c r="A100" s="124"/>
      <c r="B100" s="124"/>
      <c r="C100" s="124"/>
      <c r="D100" s="124"/>
      <c r="E100" s="124"/>
    </row>
    <row r="101" spans="1:5" x14ac:dyDescent="0.45">
      <c r="A101" s="124"/>
      <c r="B101" s="124"/>
      <c r="C101" s="124"/>
      <c r="D101" s="124"/>
      <c r="E101" s="124"/>
    </row>
    <row r="102" spans="1:5" x14ac:dyDescent="0.45">
      <c r="A102" s="124"/>
      <c r="B102" s="124"/>
      <c r="C102" s="124"/>
      <c r="D102" s="124"/>
      <c r="E102" s="124"/>
    </row>
    <row r="103" spans="1:5" x14ac:dyDescent="0.45">
      <c r="A103" s="124"/>
      <c r="B103" s="124"/>
      <c r="C103" s="124"/>
      <c r="D103" s="124"/>
      <c r="E103" s="124"/>
    </row>
    <row r="104" spans="1:5" x14ac:dyDescent="0.45">
      <c r="A104" s="124"/>
      <c r="B104" s="124"/>
      <c r="C104" s="124"/>
      <c r="D104" s="124"/>
      <c r="E104" s="124"/>
    </row>
    <row r="105" spans="1:5" x14ac:dyDescent="0.45">
      <c r="A105" s="124"/>
      <c r="B105" s="124"/>
      <c r="C105" s="124"/>
      <c r="D105" s="124"/>
      <c r="E105" s="124"/>
    </row>
    <row r="106" spans="1:5" x14ac:dyDescent="0.45">
      <c r="A106" s="124"/>
      <c r="B106" s="124"/>
      <c r="C106" s="124"/>
      <c r="D106" s="124"/>
      <c r="E106" s="124"/>
    </row>
    <row r="107" spans="1:5" x14ac:dyDescent="0.45">
      <c r="A107" s="124"/>
      <c r="B107" s="124"/>
      <c r="C107" s="124"/>
      <c r="D107" s="124"/>
      <c r="E107" s="124"/>
    </row>
    <row r="108" spans="1:5" x14ac:dyDescent="0.45">
      <c r="A108" s="124"/>
      <c r="B108" s="124"/>
      <c r="C108" s="124"/>
      <c r="D108" s="124"/>
      <c r="E108" s="124"/>
    </row>
    <row r="109" spans="1:5" x14ac:dyDescent="0.45">
      <c r="A109" s="124"/>
      <c r="B109" s="124"/>
      <c r="C109" s="124"/>
      <c r="D109" s="124"/>
      <c r="E109" s="124"/>
    </row>
    <row r="110" spans="1:5" x14ac:dyDescent="0.45">
      <c r="A110" s="124"/>
      <c r="B110" s="124"/>
      <c r="C110" s="124"/>
      <c r="D110" s="124"/>
      <c r="E110" s="124"/>
    </row>
    <row r="111" spans="1:5" x14ac:dyDescent="0.45">
      <c r="A111" s="124"/>
      <c r="B111" s="124"/>
      <c r="C111" s="124"/>
      <c r="D111" s="124"/>
      <c r="E111" s="124"/>
    </row>
    <row r="112" spans="1:5" x14ac:dyDescent="0.45">
      <c r="A112" s="124"/>
      <c r="B112" s="124"/>
      <c r="C112" s="124"/>
      <c r="D112" s="124"/>
      <c r="E112" s="124"/>
    </row>
    <row r="113" spans="1:5" x14ac:dyDescent="0.45">
      <c r="A113" s="124"/>
      <c r="B113" s="124"/>
      <c r="C113" s="124"/>
      <c r="D113" s="124"/>
      <c r="E113" s="124"/>
    </row>
    <row r="114" spans="1:5" x14ac:dyDescent="0.45">
      <c r="A114" s="124"/>
      <c r="B114" s="124"/>
      <c r="C114" s="124"/>
      <c r="D114" s="124"/>
      <c r="E114" s="124"/>
    </row>
    <row r="115" spans="1:5" x14ac:dyDescent="0.45">
      <c r="A115" s="124"/>
      <c r="B115" s="124"/>
      <c r="C115" s="124"/>
      <c r="D115" s="124"/>
      <c r="E115" s="124"/>
    </row>
    <row r="116" spans="1:5" x14ac:dyDescent="0.45">
      <c r="A116" s="124"/>
      <c r="B116" s="124"/>
      <c r="C116" s="124"/>
      <c r="D116" s="124"/>
      <c r="E116" s="124"/>
    </row>
    <row r="117" spans="1:5" x14ac:dyDescent="0.45">
      <c r="A117" s="124"/>
      <c r="B117" s="124"/>
      <c r="C117" s="124"/>
      <c r="D117" s="124"/>
      <c r="E117" s="124"/>
    </row>
    <row r="118" spans="1:5" x14ac:dyDescent="0.45">
      <c r="A118" s="124"/>
      <c r="B118" s="124"/>
      <c r="C118" s="124"/>
      <c r="D118" s="124"/>
      <c r="E118" s="124"/>
    </row>
    <row r="119" spans="1:5" x14ac:dyDescent="0.45">
      <c r="A119" s="124"/>
      <c r="B119" s="124"/>
      <c r="C119" s="124"/>
      <c r="D119" s="124"/>
      <c r="E119" s="124"/>
    </row>
    <row r="120" spans="1:5" x14ac:dyDescent="0.45">
      <c r="A120" s="124"/>
      <c r="B120" s="124"/>
      <c r="C120" s="124"/>
      <c r="D120" s="124"/>
      <c r="E120" s="124"/>
    </row>
    <row r="121" spans="1:5" x14ac:dyDescent="0.45">
      <c r="A121" s="124"/>
      <c r="B121" s="124"/>
      <c r="C121" s="124"/>
      <c r="D121" s="124"/>
      <c r="E121" s="124"/>
    </row>
    <row r="122" spans="1:5" x14ac:dyDescent="0.45">
      <c r="A122" s="124"/>
      <c r="B122" s="124"/>
      <c r="C122" s="124"/>
      <c r="D122" s="124"/>
      <c r="E122" s="124"/>
    </row>
    <row r="123" spans="1:5" x14ac:dyDescent="0.45">
      <c r="A123" s="124"/>
      <c r="B123" s="124"/>
      <c r="C123" s="124"/>
      <c r="D123" s="124"/>
      <c r="E123" s="124"/>
    </row>
    <row r="124" spans="1:5" x14ac:dyDescent="0.45">
      <c r="A124" s="124"/>
      <c r="B124" s="124"/>
      <c r="C124" s="124"/>
      <c r="D124" s="124"/>
      <c r="E124" s="124"/>
    </row>
  </sheetData>
  <mergeCells count="1">
    <mergeCell ref="A3:B3"/>
  </mergeCells>
  <conditionalFormatting sqref="A22">
    <cfRule type="cellIs" dxfId="29" priority="1" operator="greaterThan">
      <formula>1</formula>
    </cfRule>
    <cfRule type="cellIs" dxfId="28" priority="2" operator="lessThan">
      <formula>1</formula>
    </cfRule>
  </conditionalFormatting>
  <dataValidations count="3">
    <dataValidation type="list" allowBlank="1" showInputMessage="1" showErrorMessage="1" sqref="D6:D13" xr:uid="{00000000-0002-0000-0D00-000000000000}">
      <formula1>Likert_Scale</formula1>
    </dataValidation>
    <dataValidation type="list" allowBlank="1" showInputMessage="1" showErrorMessage="1" sqref="D14:D15 D5" xr:uid="{00000000-0002-0000-0D00-000001000000}">
      <formula1>Boolean_Scale</formula1>
    </dataValidation>
    <dataValidation type="list" allowBlank="1" showInputMessage="1" showErrorMessage="1" sqref="A5:A15" xr:uid="{00000000-0002-0000-0D00-000003000000}">
      <formula1>"Ja,Nein"</formula1>
    </dataValidation>
  </dataValidations>
  <pageMargins left="0.39370078740157483" right="0.39370078740157483" top="0.98425196850393704" bottom="0.78740157480314965" header="0.11811023622047245" footer="0.11811023622047245"/>
  <pageSetup paperSize="9" scale="79" orientation="landscape" r:id="rId1"/>
  <headerFooter>
    <oddHeader xml:space="preserve">&amp;L&amp;G
&amp;C&amp;14
&amp;16&amp;A&amp;R
&amp;G </oddHeader>
    <oddFooter>&amp;L&amp;F&amp;C&amp;P von &amp;N&amp;R&amp;D</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4">
    <tabColor rgb="FF00B050"/>
    <pageSetUpPr fitToPage="1"/>
  </sheetPr>
  <dimension ref="A1:E239"/>
  <sheetViews>
    <sheetView topLeftCell="A7" zoomScale="140" zoomScaleNormal="100" zoomScaleSheetLayoutView="100" workbookViewId="0">
      <selection activeCell="A15" sqref="A15"/>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104</v>
      </c>
      <c r="B1" s="2"/>
      <c r="C1" s="3"/>
      <c r="D1" s="4"/>
      <c r="E1" s="4"/>
    </row>
    <row r="2" spans="1:5" x14ac:dyDescent="0.45">
      <c r="A2" s="30"/>
      <c r="B2" s="30"/>
      <c r="C2" s="30"/>
      <c r="D2" s="30"/>
      <c r="E2" s="30"/>
    </row>
    <row r="3" spans="1:5" s="11" customFormat="1" ht="13.15" x14ac:dyDescent="0.4">
      <c r="A3" s="360"/>
      <c r="B3" s="360"/>
      <c r="C3" s="43"/>
      <c r="D3" s="9"/>
      <c r="E3" s="10"/>
    </row>
    <row r="4" spans="1:5" ht="39.4" x14ac:dyDescent="0.45">
      <c r="A4" s="277" t="s">
        <v>9</v>
      </c>
      <c r="B4" s="277" t="s">
        <v>20</v>
      </c>
      <c r="C4" s="278" t="s">
        <v>185</v>
      </c>
      <c r="D4" s="278" t="s">
        <v>22</v>
      </c>
      <c r="E4" s="278" t="s">
        <v>23</v>
      </c>
    </row>
    <row r="5" spans="1:5" ht="26.25" x14ac:dyDescent="0.45">
      <c r="A5" s="309" t="s">
        <v>10</v>
      </c>
      <c r="B5" s="31">
        <f t="shared" ref="B5:B16" si="0">IF(A5="Nein", 0, $A$21)</f>
        <v>0.14285714285714285</v>
      </c>
      <c r="C5" s="21" t="s">
        <v>134</v>
      </c>
      <c r="D5" s="32" t="s">
        <v>10</v>
      </c>
      <c r="E5" s="33"/>
    </row>
    <row r="6" spans="1:5" ht="91.9" x14ac:dyDescent="0.45">
      <c r="A6" s="309" t="s">
        <v>10</v>
      </c>
      <c r="B6" s="31">
        <f t="shared" si="0"/>
        <v>0.14285714285714285</v>
      </c>
      <c r="C6" s="21" t="s">
        <v>135</v>
      </c>
      <c r="D6" s="32" t="s">
        <v>12</v>
      </c>
      <c r="E6" s="33"/>
    </row>
    <row r="7" spans="1:5" ht="26.25" x14ac:dyDescent="0.45">
      <c r="A7" s="309" t="s">
        <v>10</v>
      </c>
      <c r="B7" s="31">
        <f t="shared" si="0"/>
        <v>0.14285714285714285</v>
      </c>
      <c r="C7" s="21" t="s">
        <v>136</v>
      </c>
      <c r="D7" s="32" t="s">
        <v>16</v>
      </c>
      <c r="E7" s="33"/>
    </row>
    <row r="8" spans="1:5" ht="26.25" x14ac:dyDescent="0.45">
      <c r="A8" s="309" t="s">
        <v>10</v>
      </c>
      <c r="B8" s="31">
        <f t="shared" si="0"/>
        <v>0.14285714285714285</v>
      </c>
      <c r="C8" s="21" t="s">
        <v>137</v>
      </c>
      <c r="D8" s="32" t="s">
        <v>16</v>
      </c>
      <c r="E8" s="33"/>
    </row>
    <row r="9" spans="1:5" ht="39.4" x14ac:dyDescent="0.45">
      <c r="A9" s="309" t="s">
        <v>10</v>
      </c>
      <c r="B9" s="31">
        <f t="shared" si="0"/>
        <v>0.14285714285714285</v>
      </c>
      <c r="C9" s="55" t="s">
        <v>138</v>
      </c>
      <c r="D9" s="32" t="s">
        <v>12</v>
      </c>
      <c r="E9" s="50"/>
    </row>
    <row r="10" spans="1:5" ht="26.25" x14ac:dyDescent="0.45">
      <c r="A10" s="309" t="s">
        <v>16</v>
      </c>
      <c r="B10" s="31">
        <f t="shared" si="0"/>
        <v>0</v>
      </c>
      <c r="C10" s="21" t="s">
        <v>139</v>
      </c>
      <c r="D10" s="32" t="s">
        <v>12</v>
      </c>
      <c r="E10" s="33"/>
    </row>
    <row r="11" spans="1:5" ht="26.25" x14ac:dyDescent="0.45">
      <c r="A11" s="309" t="s">
        <v>10</v>
      </c>
      <c r="B11" s="31">
        <f t="shared" si="0"/>
        <v>0.14285714285714285</v>
      </c>
      <c r="C11" s="21" t="s">
        <v>140</v>
      </c>
      <c r="D11" s="32" t="s">
        <v>12</v>
      </c>
      <c r="E11" s="50"/>
    </row>
    <row r="12" spans="1:5" ht="26.25" x14ac:dyDescent="0.45">
      <c r="A12" s="309" t="s">
        <v>16</v>
      </c>
      <c r="B12" s="31">
        <f t="shared" si="0"/>
        <v>0</v>
      </c>
      <c r="C12" s="21" t="s">
        <v>141</v>
      </c>
      <c r="D12" s="32" t="s">
        <v>12</v>
      </c>
      <c r="E12" s="50"/>
    </row>
    <row r="13" spans="1:5" ht="52.5" x14ac:dyDescent="0.45">
      <c r="A13" s="309" t="s">
        <v>10</v>
      </c>
      <c r="B13" s="31">
        <f t="shared" si="0"/>
        <v>0.14285714285714285</v>
      </c>
      <c r="C13" s="21" t="s">
        <v>142</v>
      </c>
      <c r="D13" s="32" t="s">
        <v>12</v>
      </c>
      <c r="E13" s="50"/>
    </row>
    <row r="14" spans="1:5" ht="91.9" x14ac:dyDescent="0.45">
      <c r="A14" s="309" t="s">
        <v>16</v>
      </c>
      <c r="B14" s="31">
        <f t="shared" si="0"/>
        <v>0</v>
      </c>
      <c r="C14" s="21" t="s">
        <v>222</v>
      </c>
      <c r="D14" s="32" t="s">
        <v>12</v>
      </c>
      <c r="E14" s="50"/>
    </row>
    <row r="15" spans="1:5" x14ac:dyDescent="0.45">
      <c r="A15" s="309" t="s">
        <v>16</v>
      </c>
      <c r="B15" s="31">
        <f t="shared" si="0"/>
        <v>0</v>
      </c>
      <c r="C15" s="312"/>
      <c r="D15" s="32" t="s">
        <v>10</v>
      </c>
      <c r="E15" s="50"/>
    </row>
    <row r="16" spans="1:5" x14ac:dyDescent="0.45">
      <c r="A16" s="309" t="s">
        <v>16</v>
      </c>
      <c r="B16" s="31">
        <f t="shared" si="0"/>
        <v>0</v>
      </c>
      <c r="C16" s="312"/>
      <c r="D16" s="32" t="s">
        <v>10</v>
      </c>
      <c r="E16" s="33"/>
    </row>
    <row r="17" spans="1:5" x14ac:dyDescent="0.45">
      <c r="A17" s="34"/>
      <c r="B17" s="34"/>
      <c r="C17" s="34"/>
      <c r="D17" s="34"/>
      <c r="E17" s="34"/>
    </row>
    <row r="18" spans="1:5" x14ac:dyDescent="0.45">
      <c r="A18" s="35" t="s">
        <v>17</v>
      </c>
      <c r="B18" s="36"/>
      <c r="C18" s="36"/>
      <c r="D18" s="36"/>
      <c r="E18" s="36"/>
    </row>
    <row r="19" spans="1:5" x14ac:dyDescent="0.45">
      <c r="A19" s="37">
        <f>COUNTIF(A5:A16, "Ja")</f>
        <v>7</v>
      </c>
      <c r="B19" s="18"/>
      <c r="C19" s="36"/>
      <c r="D19" s="36"/>
      <c r="E19" s="36"/>
    </row>
    <row r="20" spans="1:5" x14ac:dyDescent="0.45">
      <c r="A20" s="38" t="s">
        <v>18</v>
      </c>
      <c r="B20" s="36"/>
      <c r="C20" s="36"/>
      <c r="D20" s="36"/>
      <c r="E20" s="36"/>
    </row>
    <row r="21" spans="1:5" x14ac:dyDescent="0.45">
      <c r="A21" s="39">
        <f>1/A19</f>
        <v>0.14285714285714285</v>
      </c>
      <c r="B21" s="18"/>
      <c r="C21" s="36"/>
      <c r="D21" s="36"/>
      <c r="E21" s="36"/>
    </row>
    <row r="22" spans="1:5" x14ac:dyDescent="0.45">
      <c r="A22" s="38" t="s">
        <v>6</v>
      </c>
      <c r="B22" s="36"/>
      <c r="C22" s="36"/>
      <c r="D22" s="36"/>
      <c r="E22" s="36"/>
    </row>
    <row r="23" spans="1:5" x14ac:dyDescent="0.45">
      <c r="A23" s="39">
        <f>SUM(B5:B16)</f>
        <v>0.99999999999999978</v>
      </c>
      <c r="B23" s="18"/>
      <c r="C23" s="36"/>
      <c r="D23" s="36"/>
      <c r="E23" s="36"/>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row r="235" spans="1:5" x14ac:dyDescent="0.45">
      <c r="A235" s="11"/>
      <c r="B235" s="11"/>
      <c r="C235" s="11"/>
      <c r="D235" s="11"/>
      <c r="E235" s="11"/>
    </row>
    <row r="236" spans="1:5" x14ac:dyDescent="0.45">
      <c r="A236" s="11"/>
      <c r="B236" s="11"/>
      <c r="C236" s="11"/>
      <c r="D236" s="11"/>
      <c r="E236" s="11"/>
    </row>
    <row r="237" spans="1:5" x14ac:dyDescent="0.45">
      <c r="A237" s="11"/>
      <c r="B237" s="11"/>
      <c r="C237" s="11"/>
      <c r="D237" s="11"/>
      <c r="E237" s="11"/>
    </row>
    <row r="238" spans="1:5" x14ac:dyDescent="0.45">
      <c r="A238" s="11"/>
      <c r="B238" s="11"/>
      <c r="C238" s="11"/>
      <c r="D238" s="11"/>
      <c r="E238" s="11"/>
    </row>
    <row r="239" spans="1:5" x14ac:dyDescent="0.45">
      <c r="A239" s="11"/>
      <c r="B239" s="11"/>
      <c r="C239" s="11"/>
      <c r="D239" s="11"/>
      <c r="E239" s="11"/>
    </row>
  </sheetData>
  <mergeCells count="1">
    <mergeCell ref="A3:B3"/>
  </mergeCells>
  <conditionalFormatting sqref="A23">
    <cfRule type="cellIs" dxfId="27" priority="1" operator="greaterThan">
      <formula>1</formula>
    </cfRule>
    <cfRule type="cellIs" dxfId="26" priority="2" operator="lessThan">
      <formula>1</formula>
    </cfRule>
  </conditionalFormatting>
  <dataValidations count="3">
    <dataValidation type="list" allowBlank="1" showInputMessage="1" showErrorMessage="1" sqref="D6 D9:D14" xr:uid="{00000000-0002-0000-0E00-000000000000}">
      <formula1>Likert_Scale</formula1>
    </dataValidation>
    <dataValidation type="list" allowBlank="1" showInputMessage="1" showErrorMessage="1" sqref="D5 D7:D8 D15:D16" xr:uid="{00000000-0002-0000-0E00-000001000000}">
      <formula1>Boolean_Scale</formula1>
    </dataValidation>
    <dataValidation type="list" allowBlank="1" showInputMessage="1" showErrorMessage="1" sqref="A5:A16" xr:uid="{00000000-0002-0000-0E00-000003000000}">
      <formula1>"Ja,Nein"</formula1>
    </dataValidation>
  </dataValidations>
  <pageMargins left="0.39370078740157483" right="0.39370078740157483" top="0.98425196850393704" bottom="0.78740157480314965" header="0.11811023622047245" footer="0.11811023622047245"/>
  <pageSetup paperSize="9" scale="71" orientation="landscape" r:id="rId1"/>
  <headerFooter>
    <oddHeader xml:space="preserve">&amp;L&amp;G
&amp;C&amp;14
&amp;16&amp;A&amp;R
&amp;G </oddHeader>
    <oddFooter>&amp;L&amp;F&amp;C&amp;P von &amp;N&amp;R&amp;D</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0">
    <tabColor rgb="FF00B050"/>
    <pageSetUpPr fitToPage="1"/>
  </sheetPr>
  <dimension ref="A1:E232"/>
  <sheetViews>
    <sheetView topLeftCell="B10" zoomScale="124" zoomScaleNormal="100" zoomScaleSheetLayoutView="100" workbookViewId="0">
      <selection activeCell="D14" sqref="D14"/>
    </sheetView>
  </sheetViews>
  <sheetFormatPr baseColWidth="10" defaultColWidth="80.265625" defaultRowHeight="14.25" x14ac:dyDescent="0.45"/>
  <cols>
    <col min="1" max="2" width="11.73046875" style="191" customWidth="1"/>
    <col min="3" max="3" width="80.265625" style="191" customWidth="1"/>
    <col min="4" max="4" width="20.3984375" style="191" customWidth="1"/>
    <col min="5" max="5" width="41.1328125" style="191" customWidth="1"/>
    <col min="6" max="6" width="37.86328125" style="191" customWidth="1"/>
    <col min="7" max="7" width="5" style="191" customWidth="1"/>
    <col min="8" max="16384" width="80.265625" style="191"/>
  </cols>
  <sheetData>
    <row r="1" spans="1:5" s="189" customFormat="1" ht="15.75" x14ac:dyDescent="0.5">
      <c r="A1" s="1" t="s">
        <v>105</v>
      </c>
      <c r="B1" s="186"/>
      <c r="C1" s="187"/>
      <c r="D1" s="188"/>
      <c r="E1" s="188"/>
    </row>
    <row r="2" spans="1:5" x14ac:dyDescent="0.45">
      <c r="A2" s="190"/>
      <c r="B2" s="190"/>
      <c r="C2" s="190"/>
      <c r="D2" s="190"/>
      <c r="E2" s="190"/>
    </row>
    <row r="3" spans="1:5" s="189" customFormat="1" ht="13.15" x14ac:dyDescent="0.4">
      <c r="A3" s="362"/>
      <c r="B3" s="362"/>
      <c r="C3" s="192"/>
      <c r="D3" s="193"/>
      <c r="E3" s="194"/>
    </row>
    <row r="4" spans="1:5" ht="39.4" x14ac:dyDescent="0.45">
      <c r="A4" s="277" t="s">
        <v>9</v>
      </c>
      <c r="B4" s="277" t="s">
        <v>20</v>
      </c>
      <c r="C4" s="278" t="s">
        <v>185</v>
      </c>
      <c r="D4" s="278" t="s">
        <v>22</v>
      </c>
      <c r="E4" s="278" t="s">
        <v>23</v>
      </c>
    </row>
    <row r="5" spans="1:5" ht="26.25" x14ac:dyDescent="0.45">
      <c r="A5" s="318" t="s">
        <v>10</v>
      </c>
      <c r="B5" s="195">
        <f t="shared" ref="B5:B16" si="0">IF(A5="Nein", 0, $A$21)</f>
        <v>0.1</v>
      </c>
      <c r="C5" s="21" t="s">
        <v>143</v>
      </c>
      <c r="D5" s="197" t="s">
        <v>14</v>
      </c>
      <c r="E5" s="198"/>
    </row>
    <row r="6" spans="1:5" ht="52.5" x14ac:dyDescent="0.45">
      <c r="A6" s="318" t="s">
        <v>10</v>
      </c>
      <c r="B6" s="195">
        <f t="shared" si="0"/>
        <v>0.1</v>
      </c>
      <c r="C6" s="21" t="s">
        <v>144</v>
      </c>
      <c r="D6" s="197" t="s">
        <v>14</v>
      </c>
      <c r="E6" s="198"/>
    </row>
    <row r="7" spans="1:5" ht="91.9" x14ac:dyDescent="0.45">
      <c r="A7" s="318" t="s">
        <v>10</v>
      </c>
      <c r="B7" s="195">
        <f t="shared" si="0"/>
        <v>0.1</v>
      </c>
      <c r="C7" s="21" t="s">
        <v>202</v>
      </c>
      <c r="D7" s="197" t="s">
        <v>14</v>
      </c>
      <c r="E7" s="198"/>
    </row>
    <row r="8" spans="1:5" ht="26.25" x14ac:dyDescent="0.45">
      <c r="A8" s="318" t="s">
        <v>10</v>
      </c>
      <c r="B8" s="195">
        <f t="shared" si="0"/>
        <v>0.1</v>
      </c>
      <c r="C8" s="21" t="s">
        <v>145</v>
      </c>
      <c r="D8" s="197" t="s">
        <v>14</v>
      </c>
      <c r="E8" s="198"/>
    </row>
    <row r="9" spans="1:5" ht="105" x14ac:dyDescent="0.45">
      <c r="A9" s="318" t="s">
        <v>10</v>
      </c>
      <c r="B9" s="195">
        <f t="shared" si="0"/>
        <v>0.1</v>
      </c>
      <c r="C9" s="21" t="s">
        <v>146</v>
      </c>
      <c r="D9" s="197" t="s">
        <v>13</v>
      </c>
      <c r="E9" s="198"/>
    </row>
    <row r="10" spans="1:5" ht="105" x14ac:dyDescent="0.45">
      <c r="A10" s="318" t="s">
        <v>10</v>
      </c>
      <c r="B10" s="195">
        <f t="shared" si="0"/>
        <v>0.1</v>
      </c>
      <c r="C10" s="21" t="s">
        <v>147</v>
      </c>
      <c r="D10" s="197" t="s">
        <v>10</v>
      </c>
      <c r="E10" s="198"/>
    </row>
    <row r="11" spans="1:5" ht="91.9" x14ac:dyDescent="0.45">
      <c r="A11" s="318" t="s">
        <v>10</v>
      </c>
      <c r="B11" s="195">
        <f t="shared" si="0"/>
        <v>0.1</v>
      </c>
      <c r="C11" s="21" t="s">
        <v>148</v>
      </c>
      <c r="D11" s="197" t="s">
        <v>14</v>
      </c>
      <c r="E11" s="198"/>
    </row>
    <row r="12" spans="1:5" ht="65.650000000000006" x14ac:dyDescent="0.45">
      <c r="A12" s="318" t="s">
        <v>10</v>
      </c>
      <c r="B12" s="195">
        <f t="shared" si="0"/>
        <v>0.1</v>
      </c>
      <c r="C12" s="21" t="s">
        <v>149</v>
      </c>
      <c r="D12" s="197" t="s">
        <v>13</v>
      </c>
      <c r="E12" s="198"/>
    </row>
    <row r="13" spans="1:5" ht="26.25" x14ac:dyDescent="0.45">
      <c r="A13" s="318" t="s">
        <v>10</v>
      </c>
      <c r="B13" s="195">
        <f t="shared" si="0"/>
        <v>0.1</v>
      </c>
      <c r="C13" s="21" t="s">
        <v>83</v>
      </c>
      <c r="D13" s="197" t="s">
        <v>10</v>
      </c>
      <c r="E13" s="198"/>
    </row>
    <row r="14" spans="1:5" ht="52.5" x14ac:dyDescent="0.45">
      <c r="A14" s="318" t="s">
        <v>10</v>
      </c>
      <c r="B14" s="195">
        <f t="shared" si="0"/>
        <v>0.1</v>
      </c>
      <c r="C14" s="196" t="s">
        <v>84</v>
      </c>
      <c r="D14" s="197" t="s">
        <v>10</v>
      </c>
      <c r="E14" s="198"/>
    </row>
    <row r="15" spans="1:5" x14ac:dyDescent="0.45">
      <c r="A15" s="318" t="s">
        <v>16</v>
      </c>
      <c r="B15" s="195">
        <f t="shared" si="0"/>
        <v>0</v>
      </c>
      <c r="C15" s="314"/>
      <c r="D15" s="197" t="s">
        <v>10</v>
      </c>
      <c r="E15" s="199"/>
    </row>
    <row r="16" spans="1:5" x14ac:dyDescent="0.45">
      <c r="A16" s="318" t="s">
        <v>16</v>
      </c>
      <c r="B16" s="195">
        <f t="shared" si="0"/>
        <v>0</v>
      </c>
      <c r="C16" s="314"/>
      <c r="D16" s="197" t="s">
        <v>10</v>
      </c>
      <c r="E16" s="199"/>
    </row>
    <row r="17" spans="1:5" x14ac:dyDescent="0.45">
      <c r="A17" s="200"/>
      <c r="B17" s="200"/>
      <c r="C17" s="201"/>
      <c r="D17" s="200"/>
      <c r="E17" s="200"/>
    </row>
    <row r="18" spans="1:5" x14ac:dyDescent="0.45">
      <c r="A18" s="202" t="s">
        <v>17</v>
      </c>
      <c r="B18" s="201"/>
      <c r="C18" s="201"/>
      <c r="D18" s="201"/>
      <c r="E18" s="201"/>
    </row>
    <row r="19" spans="1:5" x14ac:dyDescent="0.45">
      <c r="A19" s="203">
        <f>COUNTIF(A5:A16, "Ja")</f>
        <v>10</v>
      </c>
      <c r="B19" s="204"/>
      <c r="C19" s="201"/>
      <c r="D19" s="201"/>
      <c r="E19" s="201"/>
    </row>
    <row r="20" spans="1:5" x14ac:dyDescent="0.45">
      <c r="A20" s="205" t="s">
        <v>18</v>
      </c>
      <c r="B20" s="201"/>
      <c r="C20" s="201"/>
      <c r="D20" s="201"/>
      <c r="E20" s="201"/>
    </row>
    <row r="21" spans="1:5" x14ac:dyDescent="0.45">
      <c r="A21" s="206">
        <f>1/A19</f>
        <v>0.1</v>
      </c>
      <c r="B21" s="204"/>
      <c r="C21" s="201"/>
      <c r="D21" s="201"/>
      <c r="E21" s="201"/>
    </row>
    <row r="22" spans="1:5" x14ac:dyDescent="0.45">
      <c r="A22" s="205" t="s">
        <v>6</v>
      </c>
      <c r="B22" s="201"/>
      <c r="C22" s="201"/>
      <c r="D22" s="201"/>
      <c r="E22" s="201"/>
    </row>
    <row r="23" spans="1:5" x14ac:dyDescent="0.45">
      <c r="A23" s="206">
        <f>SUM(B5:B16)</f>
        <v>0.99999999999999989</v>
      </c>
      <c r="B23" s="204"/>
      <c r="C23" s="201"/>
      <c r="D23" s="201"/>
      <c r="E23" s="201"/>
    </row>
    <row r="24" spans="1:5" x14ac:dyDescent="0.45">
      <c r="A24" s="189"/>
      <c r="B24" s="189"/>
      <c r="C24" s="189"/>
      <c r="D24" s="189"/>
      <c r="E24" s="189"/>
    </row>
    <row r="25" spans="1:5" x14ac:dyDescent="0.45">
      <c r="A25" s="189"/>
      <c r="B25" s="189"/>
      <c r="C25" s="189"/>
      <c r="D25" s="189"/>
      <c r="E25" s="189"/>
    </row>
    <row r="26" spans="1:5" x14ac:dyDescent="0.45">
      <c r="A26" s="189"/>
      <c r="B26" s="189"/>
      <c r="C26" s="189"/>
      <c r="D26" s="189"/>
      <c r="E26" s="189"/>
    </row>
    <row r="27" spans="1:5" x14ac:dyDescent="0.45">
      <c r="A27" s="189"/>
      <c r="B27" s="189"/>
      <c r="C27" s="189"/>
      <c r="D27" s="189"/>
      <c r="E27" s="189"/>
    </row>
    <row r="28" spans="1:5" x14ac:dyDescent="0.45">
      <c r="A28" s="189"/>
      <c r="B28" s="189"/>
      <c r="C28" s="189"/>
      <c r="D28" s="189"/>
      <c r="E28" s="189"/>
    </row>
    <row r="29" spans="1:5" x14ac:dyDescent="0.45">
      <c r="A29" s="189"/>
      <c r="B29" s="189"/>
      <c r="C29" s="189"/>
      <c r="D29" s="189"/>
      <c r="E29" s="189"/>
    </row>
    <row r="30" spans="1:5" x14ac:dyDescent="0.45">
      <c r="A30" s="189"/>
      <c r="B30" s="189"/>
      <c r="C30" s="189"/>
      <c r="D30" s="189"/>
      <c r="E30" s="189"/>
    </row>
    <row r="31" spans="1:5" x14ac:dyDescent="0.45">
      <c r="A31" s="189"/>
      <c r="B31" s="189"/>
      <c r="C31" s="189"/>
      <c r="D31" s="189"/>
      <c r="E31" s="189"/>
    </row>
    <row r="32" spans="1:5" x14ac:dyDescent="0.45">
      <c r="A32" s="189"/>
      <c r="B32" s="189"/>
      <c r="C32" s="189"/>
      <c r="D32" s="189"/>
      <c r="E32" s="189"/>
    </row>
    <row r="33" spans="1:5" x14ac:dyDescent="0.45">
      <c r="A33" s="189"/>
      <c r="B33" s="189"/>
      <c r="C33" s="189"/>
      <c r="D33" s="189"/>
      <c r="E33" s="189"/>
    </row>
    <row r="34" spans="1:5" x14ac:dyDescent="0.45">
      <c r="A34" s="189"/>
      <c r="B34" s="189"/>
      <c r="C34" s="189"/>
      <c r="D34" s="189"/>
      <c r="E34" s="189"/>
    </row>
    <row r="35" spans="1:5" x14ac:dyDescent="0.45">
      <c r="A35" s="189"/>
      <c r="B35" s="189"/>
      <c r="C35" s="189"/>
      <c r="D35" s="189"/>
      <c r="E35" s="189"/>
    </row>
    <row r="36" spans="1:5" x14ac:dyDescent="0.45">
      <c r="A36" s="189"/>
      <c r="B36" s="189"/>
      <c r="C36" s="189"/>
      <c r="D36" s="189"/>
      <c r="E36" s="189"/>
    </row>
    <row r="37" spans="1:5" x14ac:dyDescent="0.45">
      <c r="A37" s="189"/>
      <c r="B37" s="189"/>
      <c r="C37" s="189"/>
      <c r="D37" s="189"/>
      <c r="E37" s="189"/>
    </row>
    <row r="38" spans="1:5" x14ac:dyDescent="0.45">
      <c r="A38" s="189"/>
      <c r="B38" s="189"/>
      <c r="C38" s="189"/>
      <c r="D38" s="189"/>
      <c r="E38" s="189"/>
    </row>
    <row r="39" spans="1:5" x14ac:dyDescent="0.45">
      <c r="A39" s="189"/>
      <c r="B39" s="189"/>
      <c r="C39" s="189"/>
      <c r="D39" s="189"/>
      <c r="E39" s="189"/>
    </row>
    <row r="40" spans="1:5" x14ac:dyDescent="0.45">
      <c r="A40" s="189"/>
      <c r="B40" s="189"/>
      <c r="C40" s="189"/>
      <c r="D40" s="189"/>
      <c r="E40" s="189"/>
    </row>
    <row r="41" spans="1:5" x14ac:dyDescent="0.45">
      <c r="A41" s="189"/>
      <c r="B41" s="189"/>
      <c r="C41" s="189"/>
      <c r="D41" s="189"/>
      <c r="E41" s="189"/>
    </row>
    <row r="42" spans="1:5" x14ac:dyDescent="0.45">
      <c r="A42" s="189"/>
      <c r="B42" s="189"/>
      <c r="C42" s="189"/>
      <c r="D42" s="189"/>
      <c r="E42" s="189"/>
    </row>
    <row r="43" spans="1:5" x14ac:dyDescent="0.45">
      <c r="A43" s="189"/>
      <c r="B43" s="189"/>
      <c r="C43" s="189"/>
      <c r="D43" s="189"/>
      <c r="E43" s="189"/>
    </row>
    <row r="44" spans="1:5" x14ac:dyDescent="0.45">
      <c r="A44" s="189"/>
      <c r="B44" s="189"/>
      <c r="C44" s="189"/>
      <c r="D44" s="189"/>
      <c r="E44" s="189"/>
    </row>
    <row r="45" spans="1:5" x14ac:dyDescent="0.45">
      <c r="A45" s="189"/>
      <c r="B45" s="189"/>
      <c r="C45" s="189"/>
      <c r="D45" s="189"/>
      <c r="E45" s="189"/>
    </row>
    <row r="46" spans="1:5" x14ac:dyDescent="0.45">
      <c r="A46" s="189"/>
      <c r="B46" s="189"/>
      <c r="C46" s="189"/>
      <c r="D46" s="189"/>
      <c r="E46" s="189"/>
    </row>
    <row r="47" spans="1:5" x14ac:dyDescent="0.45">
      <c r="A47" s="189"/>
      <c r="B47" s="189"/>
      <c r="C47" s="189"/>
      <c r="D47" s="189"/>
      <c r="E47" s="189"/>
    </row>
    <row r="48" spans="1:5" x14ac:dyDescent="0.45">
      <c r="A48" s="189"/>
      <c r="B48" s="189"/>
      <c r="C48" s="189"/>
      <c r="D48" s="189"/>
      <c r="E48" s="189"/>
    </row>
    <row r="49" spans="1:5" x14ac:dyDescent="0.45">
      <c r="A49" s="189"/>
      <c r="B49" s="189"/>
      <c r="C49" s="189"/>
      <c r="D49" s="189"/>
      <c r="E49" s="189"/>
    </row>
    <row r="50" spans="1:5" x14ac:dyDescent="0.45">
      <c r="A50" s="189"/>
      <c r="B50" s="189"/>
      <c r="C50" s="189"/>
      <c r="D50" s="189"/>
      <c r="E50" s="189"/>
    </row>
    <row r="51" spans="1:5" x14ac:dyDescent="0.45">
      <c r="A51" s="189"/>
      <c r="B51" s="189"/>
      <c r="C51" s="189"/>
      <c r="D51" s="189"/>
      <c r="E51" s="189"/>
    </row>
    <row r="52" spans="1:5" x14ac:dyDescent="0.45">
      <c r="A52" s="189"/>
      <c r="B52" s="189"/>
      <c r="C52" s="189"/>
      <c r="D52" s="189"/>
      <c r="E52" s="189"/>
    </row>
    <row r="53" spans="1:5" x14ac:dyDescent="0.45">
      <c r="A53" s="189"/>
      <c r="B53" s="189"/>
      <c r="C53" s="189"/>
      <c r="D53" s="189"/>
      <c r="E53" s="189"/>
    </row>
    <row r="54" spans="1:5" x14ac:dyDescent="0.45">
      <c r="A54" s="189"/>
      <c r="B54" s="189"/>
      <c r="C54" s="189"/>
      <c r="D54" s="189"/>
      <c r="E54" s="189"/>
    </row>
    <row r="55" spans="1:5" x14ac:dyDescent="0.45">
      <c r="A55" s="189"/>
      <c r="B55" s="189"/>
      <c r="C55" s="189"/>
      <c r="D55" s="189"/>
      <c r="E55" s="189"/>
    </row>
    <row r="56" spans="1:5" x14ac:dyDescent="0.45">
      <c r="A56" s="189"/>
      <c r="B56" s="189"/>
      <c r="C56" s="189"/>
      <c r="D56" s="189"/>
      <c r="E56" s="189"/>
    </row>
    <row r="57" spans="1:5" x14ac:dyDescent="0.45">
      <c r="A57" s="189"/>
      <c r="B57" s="189"/>
      <c r="C57" s="189"/>
      <c r="D57" s="189"/>
      <c r="E57" s="189"/>
    </row>
    <row r="58" spans="1:5" x14ac:dyDescent="0.45">
      <c r="A58" s="189"/>
      <c r="B58" s="189"/>
      <c r="C58" s="189"/>
      <c r="D58" s="189"/>
      <c r="E58" s="189"/>
    </row>
    <row r="59" spans="1:5" x14ac:dyDescent="0.45">
      <c r="A59" s="189"/>
      <c r="B59" s="189"/>
      <c r="C59" s="189"/>
      <c r="D59" s="189"/>
      <c r="E59" s="189"/>
    </row>
    <row r="60" spans="1:5" x14ac:dyDescent="0.45">
      <c r="A60" s="189"/>
      <c r="B60" s="189"/>
      <c r="C60" s="189"/>
      <c r="D60" s="189"/>
      <c r="E60" s="189"/>
    </row>
    <row r="61" spans="1:5" x14ac:dyDescent="0.45">
      <c r="A61" s="189"/>
      <c r="B61" s="189"/>
      <c r="C61" s="189"/>
      <c r="D61" s="189"/>
      <c r="E61" s="189"/>
    </row>
    <row r="62" spans="1:5" x14ac:dyDescent="0.45">
      <c r="A62" s="189"/>
      <c r="B62" s="189"/>
      <c r="C62" s="189"/>
      <c r="D62" s="189"/>
      <c r="E62" s="189"/>
    </row>
    <row r="63" spans="1:5" x14ac:dyDescent="0.45">
      <c r="A63" s="189"/>
      <c r="B63" s="189"/>
      <c r="C63" s="189"/>
      <c r="D63" s="189"/>
      <c r="E63" s="189"/>
    </row>
    <row r="64" spans="1:5" x14ac:dyDescent="0.45">
      <c r="A64" s="189"/>
      <c r="B64" s="189"/>
      <c r="C64" s="189"/>
      <c r="D64" s="189"/>
      <c r="E64" s="189"/>
    </row>
    <row r="65" spans="1:5" x14ac:dyDescent="0.45">
      <c r="A65" s="189"/>
      <c r="B65" s="189"/>
      <c r="C65" s="189"/>
      <c r="D65" s="189"/>
      <c r="E65" s="189"/>
    </row>
    <row r="66" spans="1:5" x14ac:dyDescent="0.45">
      <c r="A66" s="189"/>
      <c r="B66" s="189"/>
      <c r="C66" s="189"/>
      <c r="D66" s="189"/>
      <c r="E66" s="189"/>
    </row>
    <row r="67" spans="1:5" x14ac:dyDescent="0.45">
      <c r="A67" s="189"/>
      <c r="B67" s="189"/>
      <c r="C67" s="189"/>
      <c r="D67" s="189"/>
      <c r="E67" s="189"/>
    </row>
    <row r="68" spans="1:5" x14ac:dyDescent="0.45">
      <c r="A68" s="189"/>
      <c r="B68" s="189"/>
      <c r="C68" s="189"/>
      <c r="D68" s="189"/>
      <c r="E68" s="189"/>
    </row>
    <row r="69" spans="1:5" x14ac:dyDescent="0.45">
      <c r="A69" s="189"/>
      <c r="B69" s="189"/>
      <c r="C69" s="189"/>
      <c r="D69" s="189"/>
      <c r="E69" s="189"/>
    </row>
    <row r="70" spans="1:5" x14ac:dyDescent="0.45">
      <c r="A70" s="189"/>
      <c r="B70" s="189"/>
      <c r="C70" s="189"/>
      <c r="D70" s="189"/>
      <c r="E70" s="189"/>
    </row>
    <row r="71" spans="1:5" x14ac:dyDescent="0.45">
      <c r="A71" s="189"/>
      <c r="B71" s="189"/>
      <c r="C71" s="189"/>
      <c r="D71" s="189"/>
      <c r="E71" s="189"/>
    </row>
    <row r="72" spans="1:5" x14ac:dyDescent="0.45">
      <c r="A72" s="189"/>
      <c r="B72" s="189"/>
      <c r="C72" s="189"/>
      <c r="D72" s="189"/>
      <c r="E72" s="189"/>
    </row>
    <row r="73" spans="1:5" x14ac:dyDescent="0.45">
      <c r="A73" s="189"/>
      <c r="B73" s="189"/>
      <c r="C73" s="189"/>
      <c r="D73" s="189"/>
      <c r="E73" s="189"/>
    </row>
    <row r="74" spans="1:5" x14ac:dyDescent="0.45">
      <c r="A74" s="189"/>
      <c r="B74" s="189"/>
      <c r="C74" s="189"/>
      <c r="D74" s="189"/>
      <c r="E74" s="189"/>
    </row>
    <row r="75" spans="1:5" x14ac:dyDescent="0.45">
      <c r="A75" s="189"/>
      <c r="B75" s="189"/>
      <c r="C75" s="189"/>
      <c r="D75" s="189"/>
      <c r="E75" s="189"/>
    </row>
    <row r="76" spans="1:5" x14ac:dyDescent="0.45">
      <c r="A76" s="189"/>
      <c r="B76" s="189"/>
      <c r="C76" s="189"/>
      <c r="D76" s="189"/>
      <c r="E76" s="189"/>
    </row>
    <row r="77" spans="1:5" x14ac:dyDescent="0.45">
      <c r="A77" s="189"/>
      <c r="B77" s="189"/>
      <c r="C77" s="189"/>
      <c r="D77" s="189"/>
      <c r="E77" s="189"/>
    </row>
    <row r="78" spans="1:5" x14ac:dyDescent="0.45">
      <c r="A78" s="189"/>
      <c r="B78" s="189"/>
      <c r="C78" s="189"/>
      <c r="D78" s="189"/>
      <c r="E78" s="189"/>
    </row>
    <row r="79" spans="1:5" x14ac:dyDescent="0.45">
      <c r="A79" s="189"/>
      <c r="B79" s="189"/>
      <c r="C79" s="189"/>
      <c r="D79" s="189"/>
      <c r="E79" s="189"/>
    </row>
    <row r="80" spans="1:5" x14ac:dyDescent="0.45">
      <c r="A80" s="189"/>
      <c r="B80" s="189"/>
      <c r="C80" s="189"/>
      <c r="D80" s="189"/>
      <c r="E80" s="189"/>
    </row>
    <row r="81" spans="1:5" x14ac:dyDescent="0.45">
      <c r="A81" s="189"/>
      <c r="B81" s="189"/>
      <c r="C81" s="189"/>
      <c r="D81" s="189"/>
      <c r="E81" s="189"/>
    </row>
    <row r="82" spans="1:5" x14ac:dyDescent="0.45">
      <c r="A82" s="189"/>
      <c r="B82" s="189"/>
      <c r="C82" s="189"/>
      <c r="D82" s="189"/>
      <c r="E82" s="189"/>
    </row>
    <row r="83" spans="1:5" x14ac:dyDescent="0.45">
      <c r="A83" s="189"/>
      <c r="B83" s="189"/>
      <c r="C83" s="189"/>
      <c r="D83" s="189"/>
      <c r="E83" s="189"/>
    </row>
    <row r="84" spans="1:5" x14ac:dyDescent="0.45">
      <c r="A84" s="189"/>
      <c r="B84" s="189"/>
      <c r="C84" s="189"/>
      <c r="D84" s="189"/>
      <c r="E84" s="189"/>
    </row>
    <row r="85" spans="1:5" x14ac:dyDescent="0.45">
      <c r="A85" s="189"/>
      <c r="B85" s="189"/>
      <c r="C85" s="189"/>
      <c r="D85" s="189"/>
      <c r="E85" s="189"/>
    </row>
    <row r="86" spans="1:5" x14ac:dyDescent="0.45">
      <c r="A86" s="189"/>
      <c r="B86" s="189"/>
      <c r="C86" s="189"/>
      <c r="D86" s="189"/>
      <c r="E86" s="189"/>
    </row>
    <row r="87" spans="1:5" x14ac:dyDescent="0.45">
      <c r="A87" s="189"/>
      <c r="B87" s="189"/>
      <c r="C87" s="189"/>
      <c r="D87" s="189"/>
      <c r="E87" s="189"/>
    </row>
    <row r="88" spans="1:5" x14ac:dyDescent="0.45">
      <c r="A88" s="189"/>
      <c r="B88" s="189"/>
      <c r="C88" s="189"/>
      <c r="D88" s="189"/>
      <c r="E88" s="189"/>
    </row>
    <row r="89" spans="1:5" x14ac:dyDescent="0.45">
      <c r="A89" s="189"/>
      <c r="B89" s="189"/>
      <c r="C89" s="189"/>
      <c r="D89" s="189"/>
      <c r="E89" s="189"/>
    </row>
    <row r="90" spans="1:5" x14ac:dyDescent="0.45">
      <c r="A90" s="189"/>
      <c r="B90" s="189"/>
      <c r="C90" s="189"/>
      <c r="D90" s="189"/>
      <c r="E90" s="189"/>
    </row>
    <row r="91" spans="1:5" x14ac:dyDescent="0.45">
      <c r="A91" s="189"/>
      <c r="B91" s="189"/>
      <c r="C91" s="189"/>
      <c r="D91" s="189"/>
      <c r="E91" s="189"/>
    </row>
    <row r="92" spans="1:5" x14ac:dyDescent="0.45">
      <c r="A92" s="189"/>
      <c r="B92" s="189"/>
      <c r="C92" s="189"/>
      <c r="D92" s="189"/>
      <c r="E92" s="189"/>
    </row>
    <row r="93" spans="1:5" x14ac:dyDescent="0.45">
      <c r="A93" s="189"/>
      <c r="B93" s="189"/>
      <c r="C93" s="189"/>
      <c r="D93" s="189"/>
      <c r="E93" s="189"/>
    </row>
    <row r="94" spans="1:5" x14ac:dyDescent="0.45">
      <c r="A94" s="189"/>
      <c r="B94" s="189"/>
      <c r="C94" s="189"/>
      <c r="D94" s="189"/>
      <c r="E94" s="189"/>
    </row>
    <row r="95" spans="1:5" x14ac:dyDescent="0.45">
      <c r="A95" s="189"/>
      <c r="B95" s="189"/>
      <c r="C95" s="189"/>
      <c r="D95" s="189"/>
      <c r="E95" s="189"/>
    </row>
    <row r="96" spans="1:5" x14ac:dyDescent="0.45">
      <c r="A96" s="189"/>
      <c r="B96" s="189"/>
      <c r="C96" s="189"/>
      <c r="D96" s="189"/>
      <c r="E96" s="189"/>
    </row>
    <row r="97" spans="1:5" x14ac:dyDescent="0.45">
      <c r="A97" s="189"/>
      <c r="B97" s="189"/>
      <c r="C97" s="189"/>
      <c r="D97" s="189"/>
      <c r="E97" s="189"/>
    </row>
    <row r="98" spans="1:5" x14ac:dyDescent="0.45">
      <c r="A98" s="189"/>
      <c r="B98" s="189"/>
      <c r="C98" s="189"/>
      <c r="D98" s="189"/>
      <c r="E98" s="189"/>
    </row>
    <row r="99" spans="1:5" x14ac:dyDescent="0.45">
      <c r="A99" s="189"/>
      <c r="B99" s="189"/>
      <c r="C99" s="189"/>
      <c r="D99" s="189"/>
      <c r="E99" s="189"/>
    </row>
    <row r="100" spans="1:5" x14ac:dyDescent="0.45">
      <c r="A100" s="189"/>
      <c r="B100" s="189"/>
      <c r="C100" s="189"/>
      <c r="D100" s="189"/>
      <c r="E100" s="189"/>
    </row>
    <row r="101" spans="1:5" x14ac:dyDescent="0.45">
      <c r="A101" s="189"/>
      <c r="B101" s="189"/>
      <c r="C101" s="189"/>
      <c r="D101" s="189"/>
      <c r="E101" s="189"/>
    </row>
    <row r="102" spans="1:5" x14ac:dyDescent="0.45">
      <c r="A102" s="189"/>
      <c r="B102" s="189"/>
      <c r="C102" s="189"/>
      <c r="D102" s="189"/>
      <c r="E102" s="189"/>
    </row>
    <row r="103" spans="1:5" x14ac:dyDescent="0.45">
      <c r="A103" s="189"/>
      <c r="B103" s="189"/>
      <c r="C103" s="189"/>
      <c r="D103" s="189"/>
      <c r="E103" s="189"/>
    </row>
    <row r="104" spans="1:5" x14ac:dyDescent="0.45">
      <c r="A104" s="189"/>
      <c r="B104" s="189"/>
      <c r="C104" s="189"/>
      <c r="D104" s="189"/>
      <c r="E104" s="189"/>
    </row>
    <row r="105" spans="1:5" x14ac:dyDescent="0.45">
      <c r="A105" s="189"/>
      <c r="B105" s="189"/>
      <c r="C105" s="189"/>
      <c r="D105" s="189"/>
      <c r="E105" s="189"/>
    </row>
    <row r="106" spans="1:5" x14ac:dyDescent="0.45">
      <c r="A106" s="189"/>
      <c r="B106" s="189"/>
      <c r="C106" s="189"/>
      <c r="D106" s="189"/>
      <c r="E106" s="189"/>
    </row>
    <row r="107" spans="1:5" x14ac:dyDescent="0.45">
      <c r="A107" s="189"/>
      <c r="B107" s="189"/>
      <c r="C107" s="189"/>
      <c r="D107" s="189"/>
      <c r="E107" s="189"/>
    </row>
    <row r="108" spans="1:5" x14ac:dyDescent="0.45">
      <c r="A108" s="189"/>
      <c r="B108" s="189"/>
      <c r="C108" s="189"/>
      <c r="D108" s="189"/>
      <c r="E108" s="189"/>
    </row>
    <row r="109" spans="1:5" x14ac:dyDescent="0.45">
      <c r="A109" s="189"/>
      <c r="B109" s="189"/>
      <c r="C109" s="189"/>
      <c r="D109" s="189"/>
      <c r="E109" s="189"/>
    </row>
    <row r="110" spans="1:5" x14ac:dyDescent="0.45">
      <c r="A110" s="189"/>
      <c r="B110" s="189"/>
      <c r="C110" s="189"/>
      <c r="D110" s="189"/>
      <c r="E110" s="189"/>
    </row>
    <row r="111" spans="1:5" x14ac:dyDescent="0.45">
      <c r="A111" s="189"/>
      <c r="B111" s="189"/>
      <c r="C111" s="189"/>
      <c r="D111" s="189"/>
      <c r="E111" s="189"/>
    </row>
    <row r="112" spans="1:5" x14ac:dyDescent="0.45">
      <c r="A112" s="189"/>
      <c r="B112" s="189"/>
      <c r="C112" s="189"/>
      <c r="D112" s="189"/>
      <c r="E112" s="189"/>
    </row>
    <row r="113" spans="1:5" x14ac:dyDescent="0.45">
      <c r="A113" s="189"/>
      <c r="B113" s="189"/>
      <c r="C113" s="189"/>
      <c r="D113" s="189"/>
      <c r="E113" s="189"/>
    </row>
    <row r="114" spans="1:5" x14ac:dyDescent="0.45">
      <c r="A114" s="189"/>
      <c r="B114" s="189"/>
      <c r="C114" s="189"/>
      <c r="D114" s="189"/>
      <c r="E114" s="189"/>
    </row>
    <row r="115" spans="1:5" x14ac:dyDescent="0.45">
      <c r="A115" s="189"/>
      <c r="B115" s="189"/>
      <c r="C115" s="189"/>
      <c r="D115" s="189"/>
      <c r="E115" s="189"/>
    </row>
    <row r="116" spans="1:5" x14ac:dyDescent="0.45">
      <c r="A116" s="189"/>
      <c r="B116" s="189"/>
      <c r="C116" s="189"/>
      <c r="D116" s="189"/>
      <c r="E116" s="189"/>
    </row>
    <row r="117" spans="1:5" x14ac:dyDescent="0.45">
      <c r="A117" s="189"/>
      <c r="B117" s="189"/>
      <c r="C117" s="189"/>
      <c r="D117" s="189"/>
      <c r="E117" s="189"/>
    </row>
    <row r="118" spans="1:5" x14ac:dyDescent="0.45">
      <c r="A118" s="189"/>
      <c r="B118" s="189"/>
      <c r="C118" s="189"/>
      <c r="D118" s="189"/>
      <c r="E118" s="189"/>
    </row>
    <row r="119" spans="1:5" x14ac:dyDescent="0.45">
      <c r="A119" s="189"/>
      <c r="B119" s="189"/>
      <c r="C119" s="189"/>
      <c r="D119" s="189"/>
      <c r="E119" s="189"/>
    </row>
    <row r="120" spans="1:5" x14ac:dyDescent="0.45">
      <c r="A120" s="189"/>
      <c r="B120" s="189"/>
      <c r="C120" s="189"/>
      <c r="D120" s="189"/>
      <c r="E120" s="189"/>
    </row>
    <row r="121" spans="1:5" x14ac:dyDescent="0.45">
      <c r="A121" s="189"/>
      <c r="B121" s="189"/>
      <c r="C121" s="189"/>
      <c r="D121" s="189"/>
      <c r="E121" s="189"/>
    </row>
    <row r="122" spans="1:5" x14ac:dyDescent="0.45">
      <c r="A122" s="189"/>
      <c r="B122" s="189"/>
      <c r="C122" s="189"/>
      <c r="D122" s="189"/>
      <c r="E122" s="189"/>
    </row>
    <row r="123" spans="1:5" x14ac:dyDescent="0.45">
      <c r="A123" s="189"/>
      <c r="B123" s="189"/>
      <c r="C123" s="189"/>
      <c r="D123" s="189"/>
      <c r="E123" s="189"/>
    </row>
    <row r="124" spans="1:5" x14ac:dyDescent="0.45">
      <c r="A124" s="189"/>
      <c r="B124" s="189"/>
      <c r="C124" s="189"/>
      <c r="D124" s="189"/>
      <c r="E124" s="189"/>
    </row>
    <row r="125" spans="1:5" x14ac:dyDescent="0.45">
      <c r="A125" s="189"/>
      <c r="B125" s="189"/>
      <c r="C125" s="189"/>
      <c r="D125" s="189"/>
      <c r="E125" s="189"/>
    </row>
    <row r="126" spans="1:5" x14ac:dyDescent="0.45">
      <c r="A126" s="189"/>
      <c r="B126" s="189"/>
      <c r="C126" s="189"/>
      <c r="D126" s="189"/>
      <c r="E126" s="189"/>
    </row>
    <row r="127" spans="1:5" x14ac:dyDescent="0.45">
      <c r="A127" s="189"/>
      <c r="B127" s="189"/>
      <c r="C127" s="189"/>
      <c r="D127" s="189"/>
      <c r="E127" s="189"/>
    </row>
    <row r="128" spans="1:5" x14ac:dyDescent="0.45">
      <c r="A128" s="189"/>
      <c r="B128" s="189"/>
      <c r="C128" s="189"/>
      <c r="D128" s="189"/>
      <c r="E128" s="189"/>
    </row>
    <row r="129" spans="1:5" x14ac:dyDescent="0.45">
      <c r="A129" s="189"/>
      <c r="B129" s="189"/>
      <c r="C129" s="189"/>
      <c r="D129" s="189"/>
      <c r="E129" s="189"/>
    </row>
    <row r="130" spans="1:5" x14ac:dyDescent="0.45">
      <c r="A130" s="189"/>
      <c r="B130" s="189"/>
      <c r="C130" s="189"/>
      <c r="D130" s="189"/>
      <c r="E130" s="189"/>
    </row>
    <row r="131" spans="1:5" x14ac:dyDescent="0.45">
      <c r="A131" s="189"/>
      <c r="B131" s="189"/>
      <c r="C131" s="189"/>
      <c r="D131" s="189"/>
      <c r="E131" s="189"/>
    </row>
    <row r="132" spans="1:5" x14ac:dyDescent="0.45">
      <c r="A132" s="189"/>
      <c r="B132" s="189"/>
      <c r="C132" s="189"/>
      <c r="D132" s="189"/>
      <c r="E132" s="189"/>
    </row>
    <row r="133" spans="1:5" x14ac:dyDescent="0.45">
      <c r="A133" s="189"/>
      <c r="B133" s="189"/>
      <c r="C133" s="189"/>
      <c r="D133" s="189"/>
      <c r="E133" s="189"/>
    </row>
    <row r="134" spans="1:5" x14ac:dyDescent="0.45">
      <c r="A134" s="189"/>
      <c r="B134" s="189"/>
      <c r="C134" s="189"/>
      <c r="D134" s="189"/>
      <c r="E134" s="189"/>
    </row>
    <row r="135" spans="1:5" x14ac:dyDescent="0.45">
      <c r="A135" s="189"/>
      <c r="B135" s="189"/>
      <c r="C135" s="189"/>
      <c r="D135" s="189"/>
      <c r="E135" s="189"/>
    </row>
    <row r="136" spans="1:5" x14ac:dyDescent="0.45">
      <c r="A136" s="189"/>
      <c r="B136" s="189"/>
      <c r="C136" s="189"/>
      <c r="D136" s="189"/>
      <c r="E136" s="189"/>
    </row>
    <row r="137" spans="1:5" x14ac:dyDescent="0.45">
      <c r="A137" s="189"/>
      <c r="B137" s="189"/>
      <c r="C137" s="189"/>
      <c r="D137" s="189"/>
      <c r="E137" s="189"/>
    </row>
    <row r="138" spans="1:5" x14ac:dyDescent="0.45">
      <c r="A138" s="189"/>
      <c r="B138" s="189"/>
      <c r="C138" s="189"/>
      <c r="D138" s="189"/>
      <c r="E138" s="189"/>
    </row>
    <row r="139" spans="1:5" x14ac:dyDescent="0.45">
      <c r="A139" s="189"/>
      <c r="B139" s="189"/>
      <c r="C139" s="189"/>
      <c r="D139" s="189"/>
      <c r="E139" s="189"/>
    </row>
    <row r="140" spans="1:5" x14ac:dyDescent="0.45">
      <c r="A140" s="189"/>
      <c r="B140" s="189"/>
      <c r="C140" s="189"/>
      <c r="D140" s="189"/>
      <c r="E140" s="189"/>
    </row>
    <row r="141" spans="1:5" x14ac:dyDescent="0.45">
      <c r="A141" s="189"/>
      <c r="B141" s="189"/>
      <c r="C141" s="189"/>
      <c r="D141" s="189"/>
      <c r="E141" s="189"/>
    </row>
    <row r="142" spans="1:5" x14ac:dyDescent="0.45">
      <c r="A142" s="189"/>
      <c r="B142" s="189"/>
      <c r="C142" s="189"/>
      <c r="D142" s="189"/>
      <c r="E142" s="189"/>
    </row>
    <row r="143" spans="1:5" x14ac:dyDescent="0.45">
      <c r="A143" s="189"/>
      <c r="B143" s="189"/>
      <c r="C143" s="189"/>
      <c r="D143" s="189"/>
      <c r="E143" s="189"/>
    </row>
    <row r="144" spans="1:5" x14ac:dyDescent="0.45">
      <c r="A144" s="189"/>
      <c r="B144" s="189"/>
      <c r="C144" s="189"/>
      <c r="D144" s="189"/>
      <c r="E144" s="189"/>
    </row>
    <row r="145" spans="1:5" x14ac:dyDescent="0.45">
      <c r="A145" s="189"/>
      <c r="B145" s="189"/>
      <c r="C145" s="189"/>
      <c r="D145" s="189"/>
      <c r="E145" s="189"/>
    </row>
    <row r="146" spans="1:5" x14ac:dyDescent="0.45">
      <c r="A146" s="189"/>
      <c r="B146" s="189"/>
      <c r="C146" s="189"/>
      <c r="D146" s="189"/>
      <c r="E146" s="189"/>
    </row>
    <row r="147" spans="1:5" x14ac:dyDescent="0.45">
      <c r="A147" s="189"/>
      <c r="B147" s="189"/>
      <c r="C147" s="189"/>
      <c r="D147" s="189"/>
      <c r="E147" s="189"/>
    </row>
    <row r="148" spans="1:5" x14ac:dyDescent="0.45">
      <c r="A148" s="189"/>
      <c r="B148" s="189"/>
      <c r="C148" s="189"/>
      <c r="D148" s="189"/>
      <c r="E148" s="189"/>
    </row>
    <row r="149" spans="1:5" x14ac:dyDescent="0.45">
      <c r="A149" s="189"/>
      <c r="B149" s="189"/>
      <c r="C149" s="189"/>
      <c r="D149" s="189"/>
      <c r="E149" s="189"/>
    </row>
    <row r="150" spans="1:5" x14ac:dyDescent="0.45">
      <c r="A150" s="189"/>
      <c r="B150" s="189"/>
      <c r="C150" s="189"/>
      <c r="D150" s="189"/>
      <c r="E150" s="189"/>
    </row>
    <row r="151" spans="1:5" x14ac:dyDescent="0.45">
      <c r="A151" s="189"/>
      <c r="B151" s="189"/>
      <c r="C151" s="189"/>
      <c r="D151" s="189"/>
      <c r="E151" s="189"/>
    </row>
    <row r="152" spans="1:5" x14ac:dyDescent="0.45">
      <c r="A152" s="189"/>
      <c r="B152" s="189"/>
      <c r="C152" s="189"/>
      <c r="D152" s="189"/>
      <c r="E152" s="189"/>
    </row>
    <row r="153" spans="1:5" x14ac:dyDescent="0.45">
      <c r="A153" s="189"/>
      <c r="B153" s="189"/>
      <c r="C153" s="189"/>
      <c r="D153" s="189"/>
      <c r="E153" s="189"/>
    </row>
    <row r="154" spans="1:5" x14ac:dyDescent="0.45">
      <c r="A154" s="189"/>
      <c r="B154" s="189"/>
      <c r="C154" s="189"/>
      <c r="D154" s="189"/>
      <c r="E154" s="189"/>
    </row>
    <row r="155" spans="1:5" x14ac:dyDescent="0.45">
      <c r="A155" s="189"/>
      <c r="B155" s="189"/>
      <c r="C155" s="189"/>
      <c r="D155" s="189"/>
      <c r="E155" s="189"/>
    </row>
    <row r="156" spans="1:5" x14ac:dyDescent="0.45">
      <c r="A156" s="189"/>
      <c r="B156" s="189"/>
      <c r="C156" s="189"/>
      <c r="D156" s="189"/>
      <c r="E156" s="189"/>
    </row>
    <row r="157" spans="1:5" x14ac:dyDescent="0.45">
      <c r="A157" s="189"/>
      <c r="B157" s="189"/>
      <c r="C157" s="189"/>
      <c r="D157" s="189"/>
      <c r="E157" s="189"/>
    </row>
    <row r="158" spans="1:5" x14ac:dyDescent="0.45">
      <c r="A158" s="189"/>
      <c r="B158" s="189"/>
      <c r="C158" s="189"/>
      <c r="D158" s="189"/>
      <c r="E158" s="189"/>
    </row>
    <row r="159" spans="1:5" x14ac:dyDescent="0.45">
      <c r="A159" s="189"/>
      <c r="B159" s="189"/>
      <c r="C159" s="189"/>
      <c r="D159" s="189"/>
      <c r="E159" s="189"/>
    </row>
    <row r="160" spans="1:5" x14ac:dyDescent="0.45">
      <c r="A160" s="189"/>
      <c r="B160" s="189"/>
      <c r="C160" s="189"/>
      <c r="D160" s="189"/>
      <c r="E160" s="189"/>
    </row>
    <row r="161" spans="1:5" x14ac:dyDescent="0.45">
      <c r="A161" s="189"/>
      <c r="B161" s="189"/>
      <c r="C161" s="189"/>
      <c r="D161" s="189"/>
      <c r="E161" s="189"/>
    </row>
    <row r="162" spans="1:5" x14ac:dyDescent="0.45">
      <c r="A162" s="189"/>
      <c r="B162" s="189"/>
      <c r="C162" s="189"/>
      <c r="D162" s="189"/>
      <c r="E162" s="189"/>
    </row>
    <row r="163" spans="1:5" x14ac:dyDescent="0.45">
      <c r="A163" s="189"/>
      <c r="B163" s="189"/>
      <c r="C163" s="189"/>
      <c r="D163" s="189"/>
      <c r="E163" s="189"/>
    </row>
    <row r="164" spans="1:5" x14ac:dyDescent="0.45">
      <c r="A164" s="189"/>
      <c r="B164" s="189"/>
      <c r="C164" s="189"/>
      <c r="D164" s="189"/>
      <c r="E164" s="189"/>
    </row>
    <row r="165" spans="1:5" x14ac:dyDescent="0.45">
      <c r="A165" s="189"/>
      <c r="B165" s="189"/>
      <c r="C165" s="189"/>
      <c r="D165" s="189"/>
      <c r="E165" s="189"/>
    </row>
    <row r="166" spans="1:5" x14ac:dyDescent="0.45">
      <c r="A166" s="189"/>
      <c r="B166" s="189"/>
      <c r="C166" s="189"/>
      <c r="D166" s="189"/>
      <c r="E166" s="189"/>
    </row>
    <row r="167" spans="1:5" x14ac:dyDescent="0.45">
      <c r="A167" s="189"/>
      <c r="B167" s="189"/>
      <c r="C167" s="189"/>
      <c r="D167" s="189"/>
      <c r="E167" s="189"/>
    </row>
    <row r="168" spans="1:5" x14ac:dyDescent="0.45">
      <c r="A168" s="189"/>
      <c r="B168" s="189"/>
      <c r="C168" s="189"/>
      <c r="D168" s="189"/>
      <c r="E168" s="189"/>
    </row>
    <row r="169" spans="1:5" x14ac:dyDescent="0.45">
      <c r="A169" s="189"/>
      <c r="B169" s="189"/>
      <c r="C169" s="189"/>
      <c r="D169" s="189"/>
      <c r="E169" s="189"/>
    </row>
    <row r="170" spans="1:5" x14ac:dyDescent="0.45">
      <c r="A170" s="189"/>
      <c r="B170" s="189"/>
      <c r="C170" s="189"/>
      <c r="D170" s="189"/>
      <c r="E170" s="189"/>
    </row>
    <row r="171" spans="1:5" x14ac:dyDescent="0.45">
      <c r="A171" s="189"/>
      <c r="B171" s="189"/>
      <c r="C171" s="189"/>
      <c r="D171" s="189"/>
      <c r="E171" s="189"/>
    </row>
    <row r="172" spans="1:5" x14ac:dyDescent="0.45">
      <c r="A172" s="189"/>
      <c r="B172" s="189"/>
      <c r="C172" s="189"/>
      <c r="D172" s="189"/>
      <c r="E172" s="189"/>
    </row>
    <row r="173" spans="1:5" x14ac:dyDescent="0.45">
      <c r="A173" s="189"/>
      <c r="B173" s="189"/>
      <c r="C173" s="189"/>
      <c r="D173" s="189"/>
      <c r="E173" s="189"/>
    </row>
    <row r="174" spans="1:5" x14ac:dyDescent="0.45">
      <c r="A174" s="189"/>
      <c r="B174" s="189"/>
      <c r="C174" s="189"/>
      <c r="D174" s="189"/>
      <c r="E174" s="189"/>
    </row>
    <row r="175" spans="1:5" x14ac:dyDescent="0.45">
      <c r="A175" s="189"/>
      <c r="B175" s="189"/>
      <c r="C175" s="189"/>
      <c r="D175" s="189"/>
      <c r="E175" s="189"/>
    </row>
    <row r="176" spans="1:5" x14ac:dyDescent="0.45">
      <c r="A176" s="189"/>
      <c r="B176" s="189"/>
      <c r="C176" s="189"/>
      <c r="D176" s="189"/>
      <c r="E176" s="189"/>
    </row>
    <row r="177" spans="1:5" x14ac:dyDescent="0.45">
      <c r="A177" s="189"/>
      <c r="B177" s="189"/>
      <c r="C177" s="189"/>
      <c r="D177" s="189"/>
      <c r="E177" s="189"/>
    </row>
    <row r="178" spans="1:5" x14ac:dyDescent="0.45">
      <c r="A178" s="189"/>
      <c r="B178" s="189"/>
      <c r="C178" s="189"/>
      <c r="D178" s="189"/>
      <c r="E178" s="189"/>
    </row>
    <row r="179" spans="1:5" x14ac:dyDescent="0.45">
      <c r="A179" s="189"/>
      <c r="B179" s="189"/>
      <c r="C179" s="189"/>
      <c r="D179" s="189"/>
      <c r="E179" s="189"/>
    </row>
    <row r="180" spans="1:5" x14ac:dyDescent="0.45">
      <c r="A180" s="189"/>
      <c r="B180" s="189"/>
      <c r="C180" s="189"/>
      <c r="D180" s="189"/>
      <c r="E180" s="189"/>
    </row>
    <row r="181" spans="1:5" x14ac:dyDescent="0.45">
      <c r="A181" s="189"/>
      <c r="B181" s="189"/>
      <c r="C181" s="189"/>
      <c r="D181" s="189"/>
      <c r="E181" s="189"/>
    </row>
    <row r="182" spans="1:5" x14ac:dyDescent="0.45">
      <c r="A182" s="189"/>
      <c r="B182" s="189"/>
      <c r="C182" s="189"/>
      <c r="D182" s="189"/>
      <c r="E182" s="189"/>
    </row>
    <row r="183" spans="1:5" x14ac:dyDescent="0.45">
      <c r="A183" s="189"/>
      <c r="B183" s="189"/>
      <c r="C183" s="189"/>
      <c r="D183" s="189"/>
      <c r="E183" s="189"/>
    </row>
    <row r="184" spans="1:5" x14ac:dyDescent="0.45">
      <c r="A184" s="189"/>
      <c r="B184" s="189"/>
      <c r="C184" s="189"/>
      <c r="D184" s="189"/>
      <c r="E184" s="189"/>
    </row>
    <row r="185" spans="1:5" x14ac:dyDescent="0.45">
      <c r="A185" s="189"/>
      <c r="B185" s="189"/>
      <c r="C185" s="189"/>
      <c r="D185" s="189"/>
      <c r="E185" s="189"/>
    </row>
    <row r="186" spans="1:5" x14ac:dyDescent="0.45">
      <c r="A186" s="189"/>
      <c r="B186" s="189"/>
      <c r="C186" s="189"/>
      <c r="D186" s="189"/>
      <c r="E186" s="189"/>
    </row>
    <row r="187" spans="1:5" x14ac:dyDescent="0.45">
      <c r="A187" s="189"/>
      <c r="B187" s="189"/>
      <c r="C187" s="189"/>
      <c r="D187" s="189"/>
      <c r="E187" s="189"/>
    </row>
    <row r="188" spans="1:5" x14ac:dyDescent="0.45">
      <c r="A188" s="189"/>
      <c r="B188" s="189"/>
      <c r="C188" s="189"/>
      <c r="D188" s="189"/>
      <c r="E188" s="189"/>
    </row>
    <row r="189" spans="1:5" x14ac:dyDescent="0.45">
      <c r="A189" s="189"/>
      <c r="B189" s="189"/>
      <c r="C189" s="189"/>
      <c r="D189" s="189"/>
      <c r="E189" s="189"/>
    </row>
    <row r="190" spans="1:5" x14ac:dyDescent="0.45">
      <c r="A190" s="189"/>
      <c r="B190" s="189"/>
      <c r="C190" s="189"/>
      <c r="D190" s="189"/>
      <c r="E190" s="189"/>
    </row>
    <row r="191" spans="1:5" x14ac:dyDescent="0.45">
      <c r="A191" s="189"/>
      <c r="B191" s="189"/>
      <c r="C191" s="189"/>
      <c r="D191" s="189"/>
      <c r="E191" s="189"/>
    </row>
    <row r="192" spans="1:5" x14ac:dyDescent="0.45">
      <c r="A192" s="189"/>
      <c r="B192" s="189"/>
      <c r="C192" s="189"/>
      <c r="D192" s="189"/>
      <c r="E192" s="189"/>
    </row>
    <row r="193" spans="1:5" x14ac:dyDescent="0.45">
      <c r="A193" s="189"/>
      <c r="B193" s="189"/>
      <c r="C193" s="189"/>
      <c r="D193" s="189"/>
      <c r="E193" s="189"/>
    </row>
    <row r="194" spans="1:5" x14ac:dyDescent="0.45">
      <c r="A194" s="189"/>
      <c r="B194" s="189"/>
      <c r="C194" s="189"/>
      <c r="D194" s="189"/>
      <c r="E194" s="189"/>
    </row>
    <row r="195" spans="1:5" x14ac:dyDescent="0.45">
      <c r="A195" s="189"/>
      <c r="B195" s="189"/>
      <c r="C195" s="189"/>
      <c r="D195" s="189"/>
      <c r="E195" s="189"/>
    </row>
    <row r="196" spans="1:5" x14ac:dyDescent="0.45">
      <c r="A196" s="189"/>
      <c r="B196" s="189"/>
      <c r="C196" s="189"/>
      <c r="D196" s="189"/>
      <c r="E196" s="189"/>
    </row>
    <row r="197" spans="1:5" x14ac:dyDescent="0.45">
      <c r="A197" s="189"/>
      <c r="B197" s="189"/>
      <c r="C197" s="189"/>
      <c r="D197" s="189"/>
      <c r="E197" s="189"/>
    </row>
    <row r="198" spans="1:5" x14ac:dyDescent="0.45">
      <c r="A198" s="189"/>
      <c r="B198" s="189"/>
      <c r="C198" s="189"/>
      <c r="D198" s="189"/>
      <c r="E198" s="189"/>
    </row>
    <row r="199" spans="1:5" x14ac:dyDescent="0.45">
      <c r="A199" s="189"/>
      <c r="B199" s="189"/>
      <c r="C199" s="189"/>
      <c r="D199" s="189"/>
      <c r="E199" s="189"/>
    </row>
    <row r="200" spans="1:5" x14ac:dyDescent="0.45">
      <c r="A200" s="189"/>
      <c r="B200" s="189"/>
      <c r="C200" s="189"/>
      <c r="D200" s="189"/>
      <c r="E200" s="189"/>
    </row>
    <row r="201" spans="1:5" x14ac:dyDescent="0.45">
      <c r="A201" s="189"/>
      <c r="B201" s="189"/>
      <c r="C201" s="189"/>
      <c r="D201" s="189"/>
      <c r="E201" s="189"/>
    </row>
    <row r="202" spans="1:5" x14ac:dyDescent="0.45">
      <c r="A202" s="189"/>
      <c r="B202" s="189"/>
      <c r="C202" s="189"/>
      <c r="D202" s="189"/>
      <c r="E202" s="189"/>
    </row>
    <row r="203" spans="1:5" x14ac:dyDescent="0.45">
      <c r="A203" s="189"/>
      <c r="B203" s="189"/>
      <c r="C203" s="189"/>
      <c r="D203" s="189"/>
      <c r="E203" s="189"/>
    </row>
    <row r="204" spans="1:5" x14ac:dyDescent="0.45">
      <c r="A204" s="189"/>
      <c r="B204" s="189"/>
      <c r="C204" s="189"/>
      <c r="D204" s="189"/>
      <c r="E204" s="189"/>
    </row>
    <row r="205" spans="1:5" x14ac:dyDescent="0.45">
      <c r="A205" s="189"/>
      <c r="B205" s="189"/>
      <c r="C205" s="189"/>
      <c r="D205" s="189"/>
      <c r="E205" s="189"/>
    </row>
    <row r="206" spans="1:5" x14ac:dyDescent="0.45">
      <c r="A206" s="189"/>
      <c r="B206" s="189"/>
      <c r="C206" s="189"/>
      <c r="D206" s="189"/>
      <c r="E206" s="189"/>
    </row>
    <row r="207" spans="1:5" x14ac:dyDescent="0.45">
      <c r="A207" s="189"/>
      <c r="B207" s="189"/>
      <c r="C207" s="189"/>
      <c r="D207" s="189"/>
      <c r="E207" s="189"/>
    </row>
    <row r="208" spans="1:5" x14ac:dyDescent="0.45">
      <c r="A208" s="189"/>
      <c r="B208" s="189"/>
      <c r="C208" s="189"/>
      <c r="D208" s="189"/>
      <c r="E208" s="189"/>
    </row>
    <row r="209" spans="1:5" x14ac:dyDescent="0.45">
      <c r="A209" s="189"/>
      <c r="B209" s="189"/>
      <c r="C209" s="189"/>
      <c r="D209" s="189"/>
      <c r="E209" s="189"/>
    </row>
    <row r="210" spans="1:5" x14ac:dyDescent="0.45">
      <c r="A210" s="189"/>
      <c r="B210" s="189"/>
      <c r="C210" s="189"/>
      <c r="D210" s="189"/>
      <c r="E210" s="189"/>
    </row>
    <row r="211" spans="1:5" x14ac:dyDescent="0.45">
      <c r="A211" s="189"/>
      <c r="B211" s="189"/>
      <c r="C211" s="189"/>
      <c r="D211" s="189"/>
      <c r="E211" s="189"/>
    </row>
    <row r="212" spans="1:5" x14ac:dyDescent="0.45">
      <c r="A212" s="189"/>
      <c r="B212" s="189"/>
      <c r="C212" s="189"/>
      <c r="D212" s="189"/>
      <c r="E212" s="189"/>
    </row>
    <row r="213" spans="1:5" x14ac:dyDescent="0.45">
      <c r="A213" s="189"/>
      <c r="B213" s="189"/>
      <c r="C213" s="189"/>
      <c r="D213" s="189"/>
      <c r="E213" s="189"/>
    </row>
    <row r="214" spans="1:5" x14ac:dyDescent="0.45">
      <c r="A214" s="189"/>
      <c r="B214" s="189"/>
      <c r="C214" s="189"/>
      <c r="D214" s="189"/>
      <c r="E214" s="189"/>
    </row>
    <row r="215" spans="1:5" x14ac:dyDescent="0.45">
      <c r="A215" s="189"/>
      <c r="B215" s="189"/>
      <c r="C215" s="189"/>
      <c r="D215" s="189"/>
      <c r="E215" s="189"/>
    </row>
    <row r="216" spans="1:5" x14ac:dyDescent="0.45">
      <c r="A216" s="189"/>
      <c r="B216" s="189"/>
      <c r="C216" s="189"/>
      <c r="D216" s="189"/>
      <c r="E216" s="189"/>
    </row>
    <row r="217" spans="1:5" x14ac:dyDescent="0.45">
      <c r="A217" s="189"/>
      <c r="B217" s="189"/>
      <c r="C217" s="189"/>
      <c r="D217" s="189"/>
      <c r="E217" s="189"/>
    </row>
    <row r="218" spans="1:5" x14ac:dyDescent="0.45">
      <c r="A218" s="189"/>
      <c r="B218" s="189"/>
      <c r="C218" s="189"/>
      <c r="D218" s="189"/>
      <c r="E218" s="189"/>
    </row>
    <row r="219" spans="1:5" x14ac:dyDescent="0.45">
      <c r="A219" s="189"/>
      <c r="B219" s="189"/>
      <c r="C219" s="189"/>
      <c r="D219" s="189"/>
      <c r="E219" s="189"/>
    </row>
    <row r="220" spans="1:5" x14ac:dyDescent="0.45">
      <c r="A220" s="189"/>
      <c r="B220" s="189"/>
      <c r="C220" s="189"/>
      <c r="D220" s="189"/>
      <c r="E220" s="189"/>
    </row>
    <row r="221" spans="1:5" x14ac:dyDescent="0.45">
      <c r="A221" s="189"/>
      <c r="B221" s="189"/>
      <c r="C221" s="189"/>
      <c r="D221" s="189"/>
      <c r="E221" s="189"/>
    </row>
    <row r="222" spans="1:5" x14ac:dyDescent="0.45">
      <c r="A222" s="189"/>
      <c r="B222" s="189"/>
      <c r="C222" s="189"/>
      <c r="D222" s="189"/>
      <c r="E222" s="189"/>
    </row>
    <row r="223" spans="1:5" x14ac:dyDescent="0.45">
      <c r="A223" s="189"/>
      <c r="B223" s="189"/>
      <c r="C223" s="189"/>
      <c r="D223" s="189"/>
      <c r="E223" s="189"/>
    </row>
    <row r="224" spans="1:5" x14ac:dyDescent="0.45">
      <c r="A224" s="189"/>
      <c r="B224" s="189"/>
      <c r="C224" s="189"/>
      <c r="D224" s="189"/>
      <c r="E224" s="189"/>
    </row>
    <row r="225" spans="1:5" x14ac:dyDescent="0.45">
      <c r="A225" s="189"/>
      <c r="B225" s="189"/>
      <c r="C225" s="189"/>
      <c r="D225" s="189"/>
      <c r="E225" s="189"/>
    </row>
    <row r="226" spans="1:5" x14ac:dyDescent="0.45">
      <c r="A226" s="189"/>
      <c r="B226" s="189"/>
      <c r="C226" s="189"/>
      <c r="D226" s="189"/>
      <c r="E226" s="189"/>
    </row>
    <row r="227" spans="1:5" x14ac:dyDescent="0.45">
      <c r="A227" s="189"/>
      <c r="B227" s="189"/>
      <c r="C227" s="189"/>
      <c r="D227" s="189"/>
      <c r="E227" s="189"/>
    </row>
    <row r="228" spans="1:5" x14ac:dyDescent="0.45">
      <c r="A228" s="189"/>
      <c r="B228" s="189"/>
      <c r="C228" s="189"/>
      <c r="D228" s="189"/>
      <c r="E228" s="189"/>
    </row>
    <row r="229" spans="1:5" x14ac:dyDescent="0.45">
      <c r="A229" s="189"/>
      <c r="B229" s="189"/>
      <c r="C229" s="189"/>
      <c r="D229" s="189"/>
      <c r="E229" s="189"/>
    </row>
    <row r="230" spans="1:5" x14ac:dyDescent="0.45">
      <c r="A230" s="189"/>
      <c r="B230" s="189"/>
      <c r="C230" s="189"/>
      <c r="D230" s="189"/>
      <c r="E230" s="189"/>
    </row>
    <row r="231" spans="1:5" x14ac:dyDescent="0.45">
      <c r="A231" s="189"/>
      <c r="B231" s="189"/>
      <c r="C231" s="189"/>
      <c r="D231" s="189"/>
      <c r="E231" s="189"/>
    </row>
    <row r="232" spans="1:5" x14ac:dyDescent="0.45">
      <c r="A232" s="189"/>
      <c r="B232" s="189"/>
      <c r="C232" s="189"/>
      <c r="D232" s="189"/>
      <c r="E232" s="189"/>
    </row>
  </sheetData>
  <mergeCells count="1">
    <mergeCell ref="A3:B3"/>
  </mergeCells>
  <conditionalFormatting sqref="A23">
    <cfRule type="cellIs" dxfId="25" priority="1" operator="greaterThan">
      <formula>1</formula>
    </cfRule>
    <cfRule type="cellIs" dxfId="24" priority="2" operator="lessThan">
      <formula>1</formula>
    </cfRule>
  </conditionalFormatting>
  <dataValidations count="3">
    <dataValidation type="list" allowBlank="1" showInputMessage="1" showErrorMessage="1" sqref="D13:D16 D10" xr:uid="{00000000-0002-0000-0F00-000000000000}">
      <formula1>Boolean_Scale</formula1>
    </dataValidation>
    <dataValidation type="list" allowBlank="1" showInputMessage="1" showErrorMessage="1" sqref="D5:D9 D11:D12" xr:uid="{00000000-0002-0000-0F00-000001000000}">
      <formula1>Likert_Scale</formula1>
    </dataValidation>
    <dataValidation type="list" allowBlank="1" showInputMessage="1" showErrorMessage="1" sqref="A5:A16" xr:uid="{00000000-0002-0000-0F00-000003000000}">
      <formula1>"Ja,Nein"</formula1>
    </dataValidation>
  </dataValidations>
  <pageMargins left="0.39370078740157483" right="0.39370078740157483" top="0.98425196850393704" bottom="0.78740157480314965" header="0.11811023622047245" footer="0.11811023622047245"/>
  <pageSetup paperSize="9" scale="53" orientation="landscape" r:id="rId1"/>
  <headerFooter>
    <oddHeader xml:space="preserve">&amp;L&amp;G
&amp;C&amp;14
&amp;16&amp;A&amp;R
&amp;G </oddHeader>
    <oddFooter>&amp;L&amp;F&amp;C&amp;P von &amp;N&amp;R&amp;D</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7">
    <tabColor rgb="FF92D050"/>
    <pageSetUpPr fitToPage="1"/>
  </sheetPr>
  <dimension ref="A1:H235"/>
  <sheetViews>
    <sheetView topLeftCell="A5" zoomScale="110" zoomScaleNormal="100" zoomScaleSheetLayoutView="100" workbookViewId="0">
      <selection activeCell="C10" sqref="C10"/>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5" style="8" customWidth="1"/>
    <col min="8" max="16384" width="80.265625" style="8"/>
  </cols>
  <sheetData>
    <row r="1" spans="1:8" s="11" customFormat="1" ht="15.75" x14ac:dyDescent="0.5">
      <c r="A1" s="1" t="s">
        <v>106</v>
      </c>
      <c r="B1" s="2"/>
      <c r="C1" s="3"/>
      <c r="D1" s="4"/>
      <c r="E1" s="4"/>
    </row>
    <row r="2" spans="1:8" x14ac:dyDescent="0.45">
      <c r="A2" s="30"/>
      <c r="B2" s="30"/>
      <c r="C2" s="30"/>
      <c r="D2" s="30"/>
      <c r="E2" s="30"/>
    </row>
    <row r="3" spans="1:8" s="11" customFormat="1" ht="13.15" x14ac:dyDescent="0.4">
      <c r="A3" s="360"/>
      <c r="B3" s="360"/>
      <c r="C3" s="43"/>
      <c r="D3" s="9"/>
      <c r="E3" s="10"/>
    </row>
    <row r="4" spans="1:8" ht="39.4" x14ac:dyDescent="0.45">
      <c r="A4" s="277" t="s">
        <v>9</v>
      </c>
      <c r="B4" s="277" t="s">
        <v>20</v>
      </c>
      <c r="C4" s="278" t="s">
        <v>185</v>
      </c>
      <c r="D4" s="278" t="s">
        <v>22</v>
      </c>
      <c r="E4" s="278" t="s">
        <v>23</v>
      </c>
    </row>
    <row r="5" spans="1:8" ht="26.25" x14ac:dyDescent="0.45">
      <c r="A5" s="309" t="s">
        <v>10</v>
      </c>
      <c r="B5" s="31">
        <f t="shared" ref="B5:B13" si="0">IF(A5="Nein", 0, $A$18)</f>
        <v>0.14285714285714285</v>
      </c>
      <c r="C5" s="21" t="s">
        <v>203</v>
      </c>
      <c r="D5" s="32" t="s">
        <v>10</v>
      </c>
      <c r="E5" s="33"/>
      <c r="H5" s="208"/>
    </row>
    <row r="6" spans="1:8" ht="105" x14ac:dyDescent="0.45">
      <c r="A6" s="309" t="s">
        <v>10</v>
      </c>
      <c r="B6" s="31">
        <f t="shared" si="0"/>
        <v>0.14285714285714285</v>
      </c>
      <c r="C6" s="21" t="s">
        <v>204</v>
      </c>
      <c r="D6" s="32" t="s">
        <v>12</v>
      </c>
      <c r="E6" s="33"/>
    </row>
    <row r="7" spans="1:8" ht="91.9" x14ac:dyDescent="0.45">
      <c r="A7" s="309" t="s">
        <v>10</v>
      </c>
      <c r="B7" s="31">
        <f t="shared" si="0"/>
        <v>0.14285714285714285</v>
      </c>
      <c r="C7" s="21" t="s">
        <v>221</v>
      </c>
      <c r="D7" s="32" t="s">
        <v>13</v>
      </c>
      <c r="E7" s="50" t="s">
        <v>271</v>
      </c>
    </row>
    <row r="8" spans="1:8" ht="65.650000000000006" x14ac:dyDescent="0.45">
      <c r="A8" s="309" t="s">
        <v>10</v>
      </c>
      <c r="B8" s="31">
        <f t="shared" si="0"/>
        <v>0.14285714285714285</v>
      </c>
      <c r="C8" s="21" t="s">
        <v>205</v>
      </c>
      <c r="D8" s="32" t="s">
        <v>12</v>
      </c>
      <c r="E8" s="33"/>
      <c r="H8" s="208"/>
    </row>
    <row r="9" spans="1:8" x14ac:dyDescent="0.45">
      <c r="A9" s="309" t="s">
        <v>10</v>
      </c>
      <c r="B9" s="31">
        <f t="shared" si="0"/>
        <v>0.14285714285714285</v>
      </c>
      <c r="C9" s="21" t="s">
        <v>201</v>
      </c>
      <c r="D9" s="32" t="s">
        <v>25</v>
      </c>
      <c r="E9" s="33"/>
    </row>
    <row r="10" spans="1:8" ht="118.15" x14ac:dyDescent="0.45">
      <c r="A10" s="309" t="s">
        <v>10</v>
      </c>
      <c r="B10" s="31">
        <f t="shared" si="0"/>
        <v>0.14285714285714285</v>
      </c>
      <c r="C10" s="21" t="s">
        <v>206</v>
      </c>
      <c r="D10" s="32" t="s">
        <v>12</v>
      </c>
      <c r="E10" s="50"/>
    </row>
    <row r="11" spans="1:8" ht="65.650000000000006" x14ac:dyDescent="0.45">
      <c r="A11" s="309" t="s">
        <v>10</v>
      </c>
      <c r="B11" s="31">
        <f t="shared" si="0"/>
        <v>0.14285714285714285</v>
      </c>
      <c r="C11" s="21" t="s">
        <v>207</v>
      </c>
      <c r="D11" s="32" t="s">
        <v>10</v>
      </c>
      <c r="E11" s="50"/>
    </row>
    <row r="12" spans="1:8" x14ac:dyDescent="0.45">
      <c r="A12" s="309" t="s">
        <v>16</v>
      </c>
      <c r="B12" s="31">
        <f t="shared" si="0"/>
        <v>0</v>
      </c>
      <c r="C12" s="312"/>
      <c r="D12" s="32" t="s">
        <v>10</v>
      </c>
      <c r="E12" s="33"/>
    </row>
    <row r="13" spans="1:8" x14ac:dyDescent="0.45">
      <c r="A13" s="309" t="s">
        <v>16</v>
      </c>
      <c r="B13" s="31">
        <f t="shared" si="0"/>
        <v>0</v>
      </c>
      <c r="C13" s="312"/>
      <c r="D13" s="32" t="s">
        <v>10</v>
      </c>
      <c r="E13" s="33"/>
    </row>
    <row r="14" spans="1:8" x14ac:dyDescent="0.45">
      <c r="A14" s="34"/>
      <c r="B14" s="34"/>
      <c r="C14" s="34"/>
      <c r="D14" s="34"/>
      <c r="E14" s="34"/>
    </row>
    <row r="15" spans="1:8" x14ac:dyDescent="0.45">
      <c r="A15" s="35" t="s">
        <v>17</v>
      </c>
      <c r="B15" s="36"/>
      <c r="C15" s="36"/>
      <c r="D15" s="36"/>
      <c r="E15" s="36"/>
    </row>
    <row r="16" spans="1:8" x14ac:dyDescent="0.45">
      <c r="A16" s="37">
        <f>COUNTIF(A5:A13, "Ja")</f>
        <v>7</v>
      </c>
      <c r="B16" s="18"/>
      <c r="C16" s="36"/>
      <c r="D16" s="36"/>
      <c r="E16" s="36"/>
    </row>
    <row r="17" spans="1:6" x14ac:dyDescent="0.45">
      <c r="A17" s="38" t="s">
        <v>18</v>
      </c>
      <c r="B17" s="36"/>
      <c r="C17" s="36"/>
      <c r="D17" s="36"/>
      <c r="E17" s="36"/>
    </row>
    <row r="18" spans="1:6" x14ac:dyDescent="0.45">
      <c r="A18" s="39">
        <f>1/A16</f>
        <v>0.14285714285714285</v>
      </c>
      <c r="B18" s="18"/>
      <c r="C18" s="36"/>
      <c r="D18" s="36"/>
      <c r="E18" s="36"/>
    </row>
    <row r="19" spans="1:6" x14ac:dyDescent="0.45">
      <c r="A19" s="38" t="s">
        <v>6</v>
      </c>
      <c r="B19" s="36"/>
      <c r="C19" s="36"/>
      <c r="D19" s="36"/>
      <c r="E19" s="36"/>
    </row>
    <row r="20" spans="1:6" x14ac:dyDescent="0.45">
      <c r="A20" s="39">
        <f>SUM(B5:B13)</f>
        <v>0.99999999999999978</v>
      </c>
      <c r="B20" s="18"/>
      <c r="C20" s="36"/>
      <c r="D20" s="36"/>
      <c r="E20" s="36"/>
    </row>
    <row r="21" spans="1:6" x14ac:dyDescent="0.45">
      <c r="A21" s="11"/>
      <c r="B21" s="11"/>
      <c r="C21" s="11"/>
      <c r="D21" s="11"/>
      <c r="E21" s="11"/>
      <c r="F21" s="11"/>
    </row>
    <row r="22" spans="1:6" x14ac:dyDescent="0.45">
      <c r="A22" s="11"/>
      <c r="B22" s="11"/>
      <c r="C22" s="11"/>
      <c r="D22" s="11"/>
      <c r="E22" s="11"/>
      <c r="F22" s="11"/>
    </row>
    <row r="23" spans="1:6" x14ac:dyDescent="0.45">
      <c r="A23" s="11"/>
      <c r="B23" s="11"/>
      <c r="C23" s="11"/>
      <c r="D23" s="11"/>
      <c r="E23" s="11"/>
      <c r="F23" s="11"/>
    </row>
    <row r="24" spans="1:6" x14ac:dyDescent="0.45">
      <c r="A24" s="11"/>
      <c r="B24" s="11"/>
      <c r="C24" s="11"/>
      <c r="D24" s="11"/>
      <c r="E24" s="11"/>
      <c r="F24" s="11"/>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sheetData>
  <mergeCells count="1">
    <mergeCell ref="A3:B3"/>
  </mergeCells>
  <conditionalFormatting sqref="A20">
    <cfRule type="cellIs" dxfId="23" priority="1" operator="greaterThan">
      <formula>1</formula>
    </cfRule>
    <cfRule type="cellIs" dxfId="22" priority="2" operator="lessThan">
      <formula>1</formula>
    </cfRule>
  </conditionalFormatting>
  <dataValidations count="3">
    <dataValidation type="list" allowBlank="1" showInputMessage="1" showErrorMessage="1" sqref="D6:D10" xr:uid="{00000000-0002-0000-1000-000000000000}">
      <formula1>Likert_Scale</formula1>
    </dataValidation>
    <dataValidation type="list" allowBlank="1" showInputMessage="1" showErrorMessage="1" sqref="A5:A13" xr:uid="{00000000-0002-0000-1000-000002000000}">
      <formula1>"Ja,Nein"</formula1>
    </dataValidation>
    <dataValidation type="list" allowBlank="1" showInputMessage="1" showErrorMessage="1" sqref="D11:D13 D5" xr:uid="{00000000-0002-0000-1000-000003000000}">
      <formula1>Boolean_Scale</formula1>
    </dataValidation>
  </dataValidations>
  <pageMargins left="0.39370078740157483" right="0.39370078740157483" top="0.98425196850393704" bottom="0.78740157480314965" header="0.11811023622047245" footer="0.11811023622047245"/>
  <pageSetup paperSize="9" scale="65" orientation="landscape" r:id="rId1"/>
  <headerFooter>
    <oddHeader xml:space="preserve">&amp;L&amp;G
&amp;C&amp;14
&amp;16&amp;A&amp;R
&amp;G </oddHeader>
    <oddFooter>&amp;L&amp;F&amp;C&amp;P von &amp;N&amp;R&amp;D</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8">
    <tabColor rgb="FF92D050"/>
    <pageSetUpPr fitToPage="1"/>
  </sheetPr>
  <dimension ref="A1:F238"/>
  <sheetViews>
    <sheetView topLeftCell="A8" zoomScale="130" zoomScaleNormal="130" zoomScaleSheetLayoutView="100" workbookViewId="0">
      <selection activeCell="D12" sqref="D12"/>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3.1328125" style="8" customWidth="1"/>
    <col min="8" max="16384" width="80.265625" style="8"/>
  </cols>
  <sheetData>
    <row r="1" spans="1:5" s="11" customFormat="1" ht="15.75" x14ac:dyDescent="0.5">
      <c r="A1" s="1" t="s">
        <v>161</v>
      </c>
      <c r="B1" s="2"/>
      <c r="C1" s="3"/>
      <c r="D1" s="4"/>
      <c r="E1" s="4"/>
    </row>
    <row r="2" spans="1:5" x14ac:dyDescent="0.45">
      <c r="A2" s="30"/>
      <c r="B2" s="30"/>
      <c r="C2" s="30"/>
      <c r="D2" s="30"/>
      <c r="E2" s="30"/>
    </row>
    <row r="3" spans="1:5" s="11" customFormat="1" ht="13.15" x14ac:dyDescent="0.4">
      <c r="A3" s="360"/>
      <c r="B3" s="360"/>
      <c r="C3" s="43"/>
      <c r="D3" s="9"/>
      <c r="E3" s="10"/>
    </row>
    <row r="4" spans="1:5" ht="39.4" x14ac:dyDescent="0.45">
      <c r="A4" s="277" t="s">
        <v>9</v>
      </c>
      <c r="B4" s="277" t="s">
        <v>20</v>
      </c>
      <c r="C4" s="278" t="s">
        <v>185</v>
      </c>
      <c r="D4" s="278" t="s">
        <v>22</v>
      </c>
      <c r="E4" s="278" t="s">
        <v>23</v>
      </c>
    </row>
    <row r="5" spans="1:5" ht="39.4" x14ac:dyDescent="0.45">
      <c r="A5" s="309" t="s">
        <v>10</v>
      </c>
      <c r="B5" s="31">
        <f t="shared" ref="B5:B14" si="0">IF(A5="Nein", 0, $A$19)</f>
        <v>0.125</v>
      </c>
      <c r="C5" s="21" t="s">
        <v>162</v>
      </c>
      <c r="D5" s="32" t="s">
        <v>16</v>
      </c>
      <c r="E5" s="33"/>
    </row>
    <row r="6" spans="1:5" ht="39.4" x14ac:dyDescent="0.45">
      <c r="A6" s="309" t="s">
        <v>10</v>
      </c>
      <c r="B6" s="31">
        <f t="shared" si="0"/>
        <v>0.125</v>
      </c>
      <c r="C6" s="21" t="s">
        <v>163</v>
      </c>
      <c r="D6" s="32" t="s">
        <v>16</v>
      </c>
      <c r="E6" s="33"/>
    </row>
    <row r="7" spans="1:5" ht="39.4" x14ac:dyDescent="0.45">
      <c r="A7" s="309" t="s">
        <v>10</v>
      </c>
      <c r="B7" s="31">
        <f t="shared" si="0"/>
        <v>0.125</v>
      </c>
      <c r="C7" s="21" t="s">
        <v>218</v>
      </c>
      <c r="D7" s="32" t="s">
        <v>16</v>
      </c>
      <c r="E7" s="33"/>
    </row>
    <row r="8" spans="1:5" ht="65.650000000000006" x14ac:dyDescent="0.45">
      <c r="A8" s="309" t="s">
        <v>10</v>
      </c>
      <c r="B8" s="31">
        <f t="shared" si="0"/>
        <v>0.125</v>
      </c>
      <c r="C8" s="21" t="s">
        <v>164</v>
      </c>
      <c r="D8" s="32" t="s">
        <v>13</v>
      </c>
      <c r="E8" s="33"/>
    </row>
    <row r="9" spans="1:5" ht="26.25" x14ac:dyDescent="0.45">
      <c r="A9" s="309" t="s">
        <v>10</v>
      </c>
      <c r="B9" s="31">
        <f t="shared" si="0"/>
        <v>0.125</v>
      </c>
      <c r="C9" s="21" t="s">
        <v>165</v>
      </c>
      <c r="D9" s="32" t="s">
        <v>10</v>
      </c>
      <c r="E9" s="50"/>
    </row>
    <row r="10" spans="1:5" ht="52.5" x14ac:dyDescent="0.45">
      <c r="A10" s="309" t="s">
        <v>10</v>
      </c>
      <c r="B10" s="31">
        <f t="shared" si="0"/>
        <v>0.125</v>
      </c>
      <c r="C10" s="21" t="s">
        <v>219</v>
      </c>
      <c r="D10" s="32" t="s">
        <v>13</v>
      </c>
      <c r="E10" s="50"/>
    </row>
    <row r="11" spans="1:5" ht="118.15" x14ac:dyDescent="0.45">
      <c r="A11" s="309" t="s">
        <v>10</v>
      </c>
      <c r="B11" s="31">
        <f t="shared" si="0"/>
        <v>0.125</v>
      </c>
      <c r="C11" s="21" t="s">
        <v>220</v>
      </c>
      <c r="D11" s="32" t="s">
        <v>25</v>
      </c>
      <c r="E11" s="50"/>
    </row>
    <row r="12" spans="1:5" ht="65.650000000000006" x14ac:dyDescent="0.45">
      <c r="A12" s="309" t="s">
        <v>10</v>
      </c>
      <c r="B12" s="31">
        <f t="shared" si="0"/>
        <v>0.125</v>
      </c>
      <c r="C12" s="21" t="s">
        <v>208</v>
      </c>
      <c r="D12" s="32" t="s">
        <v>25</v>
      </c>
      <c r="E12" s="50"/>
    </row>
    <row r="13" spans="1:5" x14ac:dyDescent="0.45">
      <c r="A13" s="309" t="s">
        <v>16</v>
      </c>
      <c r="B13" s="31">
        <f t="shared" si="0"/>
        <v>0</v>
      </c>
      <c r="C13" s="312"/>
      <c r="D13" s="32" t="s">
        <v>10</v>
      </c>
      <c r="E13" s="50"/>
    </row>
    <row r="14" spans="1:5" x14ac:dyDescent="0.45">
      <c r="A14" s="309" t="s">
        <v>16</v>
      </c>
      <c r="B14" s="31">
        <f t="shared" si="0"/>
        <v>0</v>
      </c>
      <c r="C14" s="312"/>
      <c r="D14" s="32" t="s">
        <v>10</v>
      </c>
      <c r="E14" s="33"/>
    </row>
    <row r="15" spans="1:5" x14ac:dyDescent="0.45">
      <c r="A15" s="34"/>
      <c r="B15" s="34"/>
      <c r="C15" s="34"/>
      <c r="D15" s="34"/>
      <c r="E15" s="34"/>
    </row>
    <row r="16" spans="1:5" x14ac:dyDescent="0.45">
      <c r="A16" s="35" t="s">
        <v>17</v>
      </c>
      <c r="B16" s="36"/>
      <c r="C16" s="36"/>
      <c r="D16" s="36"/>
      <c r="E16" s="36"/>
    </row>
    <row r="17" spans="1:6" x14ac:dyDescent="0.45">
      <c r="A17" s="37">
        <f>COUNTIF(A5:A14, "Ja")</f>
        <v>8</v>
      </c>
      <c r="B17" s="18"/>
      <c r="C17" s="36"/>
      <c r="D17" s="36"/>
      <c r="E17" s="36"/>
    </row>
    <row r="18" spans="1:6" x14ac:dyDescent="0.45">
      <c r="A18" s="38" t="s">
        <v>18</v>
      </c>
      <c r="B18" s="36"/>
      <c r="C18" s="36"/>
      <c r="D18" s="36"/>
      <c r="E18" s="36"/>
    </row>
    <row r="19" spans="1:6" x14ac:dyDescent="0.45">
      <c r="A19" s="39">
        <f>1/A17</f>
        <v>0.125</v>
      </c>
      <c r="B19" s="18"/>
      <c r="C19" s="36"/>
      <c r="D19" s="36"/>
      <c r="E19" s="36"/>
    </row>
    <row r="20" spans="1:6" x14ac:dyDescent="0.45">
      <c r="A20" s="38" t="s">
        <v>6</v>
      </c>
      <c r="B20" s="36"/>
      <c r="C20" s="36"/>
      <c r="D20" s="36"/>
      <c r="E20" s="36"/>
    </row>
    <row r="21" spans="1:6" x14ac:dyDescent="0.45">
      <c r="A21" s="39">
        <f>SUM(B5:B14)</f>
        <v>1</v>
      </c>
      <c r="B21" s="18"/>
      <c r="C21" s="36"/>
      <c r="D21" s="36"/>
      <c r="E21" s="36"/>
    </row>
    <row r="22" spans="1:6" x14ac:dyDescent="0.45">
      <c r="A22" s="11"/>
      <c r="B22" s="11"/>
      <c r="C22" s="11"/>
      <c r="D22" s="11"/>
      <c r="E22" s="11"/>
      <c r="F22" s="11"/>
    </row>
    <row r="23" spans="1:6" x14ac:dyDescent="0.45">
      <c r="A23" s="11"/>
      <c r="B23" s="11"/>
      <c r="C23" s="11"/>
      <c r="D23" s="11"/>
      <c r="E23" s="11"/>
      <c r="F23" s="11"/>
    </row>
    <row r="24" spans="1:6" x14ac:dyDescent="0.45">
      <c r="A24" s="11"/>
      <c r="B24" s="11"/>
      <c r="C24" s="11"/>
      <c r="D24" s="11"/>
      <c r="E24" s="11"/>
      <c r="F24" s="11"/>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row r="236" spans="1:6" x14ac:dyDescent="0.45">
      <c r="A236" s="11"/>
      <c r="B236" s="11"/>
      <c r="C236" s="11"/>
      <c r="D236" s="11"/>
      <c r="E236" s="11"/>
      <c r="F236" s="11"/>
    </row>
    <row r="237" spans="1:6" x14ac:dyDescent="0.45">
      <c r="A237" s="11"/>
      <c r="B237" s="11"/>
      <c r="C237" s="11"/>
      <c r="D237" s="11"/>
      <c r="E237" s="11"/>
      <c r="F237" s="11"/>
    </row>
    <row r="238" spans="1:6" x14ac:dyDescent="0.45">
      <c r="A238" s="11"/>
      <c r="B238" s="11"/>
      <c r="C238" s="11"/>
      <c r="D238" s="11"/>
      <c r="E238" s="11"/>
      <c r="F238" s="11"/>
    </row>
  </sheetData>
  <mergeCells count="1">
    <mergeCell ref="A3:B3"/>
  </mergeCells>
  <conditionalFormatting sqref="A21">
    <cfRule type="cellIs" dxfId="21" priority="1" operator="greaterThan">
      <formula>1</formula>
    </cfRule>
    <cfRule type="cellIs" dxfId="20" priority="2" operator="lessThan">
      <formula>1</formula>
    </cfRule>
  </conditionalFormatting>
  <dataValidations count="3">
    <dataValidation type="list" allowBlank="1" showInputMessage="1" showErrorMessage="1" sqref="D10:D12 D8" xr:uid="{00000000-0002-0000-1100-000000000000}">
      <formula1>Likert_Scale</formula1>
    </dataValidation>
    <dataValidation type="list" allowBlank="1" showInputMessage="1" showErrorMessage="1" sqref="D13:D14 D9 D5:D7" xr:uid="{00000000-0002-0000-1100-000001000000}">
      <formula1>Boolean_Scale</formula1>
    </dataValidation>
    <dataValidation type="list" allowBlank="1" showInputMessage="1" showErrorMessage="1" sqref="A5:A14" xr:uid="{00000000-0002-0000-1100-000003000000}">
      <formula1>"Ja,Nein"</formula1>
    </dataValidation>
  </dataValidations>
  <pageMargins left="0.39370078740157483" right="0.39370078740157483" top="0.98425196850393704" bottom="0.78740157480314965" header="0.11811023622047245" footer="0.11811023622047245"/>
  <pageSetup paperSize="9" scale="69" orientation="landscape" r:id="rId1"/>
  <headerFooter>
    <oddHeader xml:space="preserve">&amp;L&amp;G
&amp;C&amp;14
&amp;16&amp;A&amp;R
&amp;G </oddHeader>
    <oddFooter>&amp;L&amp;F&amp;C&amp;P von &amp;N&amp;R&amp;D</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9">
    <tabColor rgb="FF92D050"/>
    <pageSetUpPr fitToPage="1"/>
  </sheetPr>
  <dimension ref="A1:F239"/>
  <sheetViews>
    <sheetView topLeftCell="A8" zoomScale="121" zoomScaleNormal="100" zoomScaleSheetLayoutView="100" workbookViewId="0">
      <selection activeCell="D15" sqref="D15"/>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174</v>
      </c>
      <c r="B1" s="2"/>
      <c r="C1" s="3"/>
      <c r="D1" s="4"/>
      <c r="E1" s="4"/>
    </row>
    <row r="2" spans="1:5" x14ac:dyDescent="0.45">
      <c r="A2" s="30"/>
      <c r="B2" s="30"/>
      <c r="C2" s="30"/>
      <c r="D2" s="30"/>
      <c r="E2" s="30"/>
    </row>
    <row r="3" spans="1:5" s="11" customFormat="1" ht="13.15" x14ac:dyDescent="0.4">
      <c r="A3" s="360"/>
      <c r="B3" s="360"/>
      <c r="C3" s="43"/>
      <c r="D3" s="9"/>
      <c r="E3" s="10"/>
    </row>
    <row r="4" spans="1:5" ht="39.4" x14ac:dyDescent="0.45">
      <c r="A4" s="277" t="s">
        <v>9</v>
      </c>
      <c r="B4" s="277" t="s">
        <v>20</v>
      </c>
      <c r="C4" s="278" t="s">
        <v>185</v>
      </c>
      <c r="D4" s="278" t="s">
        <v>22</v>
      </c>
      <c r="E4" s="278" t="s">
        <v>23</v>
      </c>
    </row>
    <row r="5" spans="1:5" ht="39.4" x14ac:dyDescent="0.45">
      <c r="A5" s="309" t="s">
        <v>10</v>
      </c>
      <c r="B5" s="31">
        <f t="shared" ref="B5:B17" si="0">IF(A5="Nein", 0, $A$22)</f>
        <v>0.1</v>
      </c>
      <c r="C5" s="21" t="s">
        <v>209</v>
      </c>
      <c r="D5" s="32" t="s">
        <v>16</v>
      </c>
      <c r="E5" s="33"/>
    </row>
    <row r="6" spans="1:5" ht="52.5" x14ac:dyDescent="0.45">
      <c r="A6" s="309" t="s">
        <v>10</v>
      </c>
      <c r="B6" s="31">
        <f t="shared" si="0"/>
        <v>0.1</v>
      </c>
      <c r="C6" s="54" t="s">
        <v>210</v>
      </c>
      <c r="D6" s="32" t="s">
        <v>13</v>
      </c>
      <c r="E6" s="33"/>
    </row>
    <row r="7" spans="1:5" ht="39.4" x14ac:dyDescent="0.45">
      <c r="A7" s="309" t="s">
        <v>10</v>
      </c>
      <c r="B7" s="31">
        <f t="shared" si="0"/>
        <v>0.1</v>
      </c>
      <c r="C7" s="21" t="s">
        <v>211</v>
      </c>
      <c r="D7" s="32" t="s">
        <v>16</v>
      </c>
      <c r="E7" s="33"/>
    </row>
    <row r="8" spans="1:5" ht="65.650000000000006" x14ac:dyDescent="0.45">
      <c r="A8" s="309" t="s">
        <v>10</v>
      </c>
      <c r="B8" s="31">
        <f t="shared" si="0"/>
        <v>0.1</v>
      </c>
      <c r="C8" s="21" t="s">
        <v>212</v>
      </c>
      <c r="D8" s="32" t="s">
        <v>13</v>
      </c>
      <c r="E8" s="33"/>
    </row>
    <row r="9" spans="1:5" ht="26.25" x14ac:dyDescent="0.45">
      <c r="A9" s="309" t="s">
        <v>10</v>
      </c>
      <c r="B9" s="31">
        <f t="shared" si="0"/>
        <v>0.1</v>
      </c>
      <c r="C9" s="21" t="s">
        <v>213</v>
      </c>
      <c r="D9" s="32" t="s">
        <v>10</v>
      </c>
      <c r="E9" s="33"/>
    </row>
    <row r="10" spans="1:5" ht="26.25" x14ac:dyDescent="0.45">
      <c r="A10" s="309" t="s">
        <v>10</v>
      </c>
      <c r="B10" s="31">
        <f t="shared" si="0"/>
        <v>0.1</v>
      </c>
      <c r="C10" s="55" t="s">
        <v>98</v>
      </c>
      <c r="D10" s="32" t="s">
        <v>16</v>
      </c>
      <c r="E10" s="33"/>
    </row>
    <row r="11" spans="1:5" ht="39.4" x14ac:dyDescent="0.45">
      <c r="A11" s="309" t="s">
        <v>10</v>
      </c>
      <c r="B11" s="31">
        <f t="shared" si="0"/>
        <v>0.1</v>
      </c>
      <c r="C11" s="21" t="s">
        <v>99</v>
      </c>
      <c r="D11" s="32" t="s">
        <v>14</v>
      </c>
      <c r="E11" s="33"/>
    </row>
    <row r="12" spans="1:5" ht="65.650000000000006" x14ac:dyDescent="0.45">
      <c r="A12" s="309" t="s">
        <v>10</v>
      </c>
      <c r="B12" s="31">
        <f t="shared" si="0"/>
        <v>0.1</v>
      </c>
      <c r="C12" s="55" t="s">
        <v>195</v>
      </c>
      <c r="D12" s="32" t="s">
        <v>12</v>
      </c>
      <c r="E12" s="33"/>
    </row>
    <row r="13" spans="1:5" ht="78.75" x14ac:dyDescent="0.45">
      <c r="A13" s="309" t="s">
        <v>10</v>
      </c>
      <c r="B13" s="31">
        <f t="shared" si="0"/>
        <v>0.1</v>
      </c>
      <c r="C13" s="55" t="s">
        <v>170</v>
      </c>
      <c r="D13" s="32" t="s">
        <v>12</v>
      </c>
      <c r="E13" s="33"/>
    </row>
    <row r="14" spans="1:5" ht="26.25" x14ac:dyDescent="0.45">
      <c r="A14" s="309" t="s">
        <v>16</v>
      </c>
      <c r="B14" s="31">
        <f t="shared" si="0"/>
        <v>0</v>
      </c>
      <c r="C14" s="55" t="s">
        <v>171</v>
      </c>
      <c r="D14" s="32" t="s">
        <v>14</v>
      </c>
      <c r="E14" s="50"/>
    </row>
    <row r="15" spans="1:5" ht="26.25" x14ac:dyDescent="0.45">
      <c r="A15" s="309" t="s">
        <v>10</v>
      </c>
      <c r="B15" s="31">
        <f t="shared" si="0"/>
        <v>0.1</v>
      </c>
      <c r="C15" s="55" t="s">
        <v>217</v>
      </c>
      <c r="D15" s="32" t="s">
        <v>16</v>
      </c>
      <c r="E15" s="33"/>
    </row>
    <row r="16" spans="1:5" x14ac:dyDescent="0.45">
      <c r="A16" s="309" t="s">
        <v>16</v>
      </c>
      <c r="B16" s="31">
        <f t="shared" si="0"/>
        <v>0</v>
      </c>
      <c r="C16" s="310"/>
      <c r="D16" s="32" t="s">
        <v>10</v>
      </c>
      <c r="E16" s="33"/>
    </row>
    <row r="17" spans="1:6" x14ac:dyDescent="0.45">
      <c r="A17" s="309" t="s">
        <v>16</v>
      </c>
      <c r="B17" s="31">
        <f t="shared" si="0"/>
        <v>0</v>
      </c>
      <c r="C17" s="310"/>
      <c r="D17" s="32" t="s">
        <v>10</v>
      </c>
      <c r="E17" s="33"/>
    </row>
    <row r="18" spans="1:6" x14ac:dyDescent="0.45">
      <c r="A18" s="34"/>
      <c r="B18" s="34"/>
      <c r="C18" s="36"/>
      <c r="D18" s="36"/>
      <c r="E18" s="34"/>
    </row>
    <row r="19" spans="1:6" x14ac:dyDescent="0.45">
      <c r="A19" s="35" t="s">
        <v>17</v>
      </c>
      <c r="B19" s="36"/>
      <c r="C19" s="36"/>
      <c r="D19" s="36"/>
      <c r="E19" s="36"/>
    </row>
    <row r="20" spans="1:6" x14ac:dyDescent="0.45">
      <c r="A20" s="37">
        <f>COUNTIF(A5:A17, "Ja")</f>
        <v>10</v>
      </c>
      <c r="B20" s="18"/>
      <c r="C20" s="36"/>
      <c r="D20" s="36"/>
      <c r="E20" s="36"/>
    </row>
    <row r="21" spans="1:6" x14ac:dyDescent="0.45">
      <c r="A21" s="38" t="s">
        <v>18</v>
      </c>
      <c r="B21" s="36"/>
      <c r="C21" s="36"/>
      <c r="D21" s="36"/>
      <c r="E21" s="36"/>
    </row>
    <row r="22" spans="1:6" x14ac:dyDescent="0.45">
      <c r="A22" s="39">
        <f>1/A20</f>
        <v>0.1</v>
      </c>
      <c r="B22" s="18"/>
      <c r="C22" s="36"/>
      <c r="D22" s="36"/>
      <c r="E22" s="36"/>
    </row>
    <row r="23" spans="1:6" x14ac:dyDescent="0.45">
      <c r="A23" s="38" t="s">
        <v>6</v>
      </c>
      <c r="B23" s="36"/>
      <c r="C23" s="36"/>
      <c r="D23" s="36"/>
      <c r="E23" s="36"/>
    </row>
    <row r="24" spans="1:6" x14ac:dyDescent="0.45">
      <c r="A24" s="39">
        <f>SUM(B5:B17)</f>
        <v>0.99999999999999989</v>
      </c>
      <c r="B24" s="18"/>
      <c r="C24" s="36"/>
      <c r="D24" s="11"/>
      <c r="E24" s="36"/>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row r="236" spans="1:6" x14ac:dyDescent="0.45">
      <c r="A236" s="11"/>
      <c r="B236" s="11"/>
      <c r="C236" s="11"/>
      <c r="D236" s="11"/>
      <c r="E236" s="11"/>
      <c r="F236" s="11"/>
    </row>
    <row r="237" spans="1:6" x14ac:dyDescent="0.45">
      <c r="A237" s="11"/>
      <c r="B237" s="11"/>
      <c r="C237" s="11"/>
      <c r="D237" s="11"/>
      <c r="E237" s="11"/>
      <c r="F237" s="11"/>
    </row>
    <row r="238" spans="1:6" x14ac:dyDescent="0.45">
      <c r="A238" s="11"/>
      <c r="B238" s="11"/>
      <c r="C238" s="11"/>
      <c r="D238" s="11"/>
      <c r="E238" s="11"/>
      <c r="F238" s="11"/>
    </row>
    <row r="239" spans="1:6" x14ac:dyDescent="0.45">
      <c r="A239" s="11"/>
      <c r="B239" s="11"/>
      <c r="C239" s="11"/>
      <c r="E239" s="11"/>
      <c r="F239" s="11"/>
    </row>
  </sheetData>
  <mergeCells count="1">
    <mergeCell ref="A3:B3"/>
  </mergeCells>
  <conditionalFormatting sqref="A24">
    <cfRule type="cellIs" dxfId="19" priority="1" operator="greaterThan">
      <formula>1</formula>
    </cfRule>
    <cfRule type="cellIs" dxfId="18" priority="2" operator="lessThan">
      <formula>1</formula>
    </cfRule>
  </conditionalFormatting>
  <dataValidations count="3">
    <dataValidation type="list" allowBlank="1" showInputMessage="1" showErrorMessage="1" sqref="D5 D7 D9:D10 D15:D17" xr:uid="{00000000-0002-0000-1200-000000000000}">
      <formula1>Boolean_Scale</formula1>
    </dataValidation>
    <dataValidation type="list" allowBlank="1" showInputMessage="1" showErrorMessage="1" sqref="D6 D8 D11:D14" xr:uid="{00000000-0002-0000-1200-000001000000}">
      <formula1>Likert_Scale</formula1>
    </dataValidation>
    <dataValidation type="list" allowBlank="1" showInputMessage="1" showErrorMessage="1" sqref="A5:A17" xr:uid="{00000000-0002-0000-1200-000003000000}">
      <formula1>"Ja,Nein"</formula1>
    </dataValidation>
  </dataValidations>
  <pageMargins left="0.39370078740157483" right="0.39370078740157483" top="0.98425196850393704" bottom="0.78740157480314965" header="0.11811023622047245" footer="0.11811023622047245"/>
  <pageSetup paperSize="9" scale="65" orientation="landscape" r:id="rId1"/>
  <headerFooter>
    <oddHeader xml:space="preserve">&amp;L&amp;G
&amp;C&amp;14
&amp;16&amp;A&amp;R
&amp;G </oddHeader>
    <oddFooter>&amp;L&amp;F&amp;C&amp;P von &amp;N&amp;R&amp;D</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11">
    <tabColor rgb="FFFFFF00"/>
    <pageSetUpPr fitToPage="1"/>
  </sheetPr>
  <dimension ref="A1:E236"/>
  <sheetViews>
    <sheetView topLeftCell="A5" zoomScale="110" zoomScaleNormal="110" zoomScaleSheetLayoutView="100" workbookViewId="0">
      <selection activeCell="D9" sqref="D9"/>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107</v>
      </c>
      <c r="B1" s="2"/>
      <c r="C1" s="3"/>
      <c r="D1" s="4"/>
      <c r="E1" s="4"/>
    </row>
    <row r="2" spans="1:5" x14ac:dyDescent="0.45">
      <c r="A2" s="30"/>
      <c r="B2" s="30"/>
      <c r="C2" s="30"/>
      <c r="D2" s="30"/>
      <c r="E2" s="30"/>
    </row>
    <row r="3" spans="1:5" s="11" customFormat="1" ht="13.15" x14ac:dyDescent="0.4">
      <c r="A3" s="360"/>
      <c r="B3" s="360"/>
      <c r="C3" s="45"/>
      <c r="D3" s="9"/>
      <c r="E3" s="10"/>
    </row>
    <row r="4" spans="1:5" ht="39.4" x14ac:dyDescent="0.45">
      <c r="A4" s="277" t="s">
        <v>9</v>
      </c>
      <c r="B4" s="277" t="s">
        <v>20</v>
      </c>
      <c r="C4" s="278" t="s">
        <v>185</v>
      </c>
      <c r="D4" s="278" t="s">
        <v>22</v>
      </c>
      <c r="E4" s="278" t="s">
        <v>23</v>
      </c>
    </row>
    <row r="5" spans="1:5" ht="170.65" x14ac:dyDescent="0.45">
      <c r="A5" s="309" t="s">
        <v>10</v>
      </c>
      <c r="B5" s="31">
        <f t="shared" ref="B5:B11" si="0">IF(A5="Nein", 0, $A$16)</f>
        <v>0.2</v>
      </c>
      <c r="C5" s="21" t="s">
        <v>159</v>
      </c>
      <c r="D5" s="32" t="s">
        <v>13</v>
      </c>
      <c r="E5" s="33"/>
    </row>
    <row r="6" spans="1:5" ht="65.650000000000006" x14ac:dyDescent="0.45">
      <c r="A6" s="309" t="s">
        <v>10</v>
      </c>
      <c r="B6" s="31">
        <f t="shared" si="0"/>
        <v>0.2</v>
      </c>
      <c r="C6" s="21" t="s">
        <v>214</v>
      </c>
      <c r="D6" s="32" t="s">
        <v>13</v>
      </c>
      <c r="E6" s="33"/>
    </row>
    <row r="7" spans="1:5" ht="65.650000000000006" x14ac:dyDescent="0.45">
      <c r="A7" s="309" t="s">
        <v>10</v>
      </c>
      <c r="B7" s="31">
        <f t="shared" si="0"/>
        <v>0.2</v>
      </c>
      <c r="C7" s="21" t="s">
        <v>160</v>
      </c>
      <c r="D7" s="32" t="s">
        <v>13</v>
      </c>
      <c r="E7" s="33"/>
    </row>
    <row r="8" spans="1:5" ht="118.15" x14ac:dyDescent="0.45">
      <c r="A8" s="309" t="s">
        <v>10</v>
      </c>
      <c r="B8" s="31">
        <f t="shared" si="0"/>
        <v>0.2</v>
      </c>
      <c r="C8" s="21" t="s">
        <v>215</v>
      </c>
      <c r="D8" s="32" t="s">
        <v>13</v>
      </c>
      <c r="E8" s="33"/>
    </row>
    <row r="9" spans="1:5" ht="26.25" x14ac:dyDescent="0.45">
      <c r="A9" s="309" t="s">
        <v>10</v>
      </c>
      <c r="B9" s="31">
        <f t="shared" si="0"/>
        <v>0.2</v>
      </c>
      <c r="C9" s="21" t="s">
        <v>216</v>
      </c>
      <c r="D9" s="32" t="s">
        <v>10</v>
      </c>
      <c r="E9" s="33"/>
    </row>
    <row r="10" spans="1:5" x14ac:dyDescent="0.45">
      <c r="A10" s="309" t="s">
        <v>16</v>
      </c>
      <c r="B10" s="31">
        <f t="shared" si="0"/>
        <v>0</v>
      </c>
      <c r="C10" s="312"/>
      <c r="D10" s="32" t="s">
        <v>10</v>
      </c>
      <c r="E10" s="50"/>
    </row>
    <row r="11" spans="1:5" x14ac:dyDescent="0.45">
      <c r="A11" s="309" t="s">
        <v>16</v>
      </c>
      <c r="B11" s="31">
        <f t="shared" si="0"/>
        <v>0</v>
      </c>
      <c r="C11" s="312"/>
      <c r="D11" s="32" t="s">
        <v>10</v>
      </c>
      <c r="E11" s="50"/>
    </row>
    <row r="12" spans="1:5" x14ac:dyDescent="0.45">
      <c r="A12" s="34"/>
      <c r="B12" s="34"/>
      <c r="C12" s="34"/>
      <c r="D12" s="34"/>
      <c r="E12" s="34"/>
    </row>
    <row r="13" spans="1:5" x14ac:dyDescent="0.45">
      <c r="A13" s="35" t="s">
        <v>17</v>
      </c>
      <c r="B13" s="36"/>
      <c r="C13" s="36"/>
      <c r="D13" s="36"/>
      <c r="E13" s="36"/>
    </row>
    <row r="14" spans="1:5" x14ac:dyDescent="0.45">
      <c r="A14" s="37">
        <f>COUNTIF(A5:A11, "Ja")</f>
        <v>5</v>
      </c>
      <c r="B14" s="18"/>
      <c r="C14" s="36"/>
      <c r="D14" s="36"/>
      <c r="E14" s="36"/>
    </row>
    <row r="15" spans="1:5" x14ac:dyDescent="0.45">
      <c r="A15" s="38" t="s">
        <v>18</v>
      </c>
      <c r="B15" s="36"/>
      <c r="C15" s="36"/>
      <c r="D15" s="36"/>
      <c r="E15" s="36"/>
    </row>
    <row r="16" spans="1:5" x14ac:dyDescent="0.45">
      <c r="A16" s="39">
        <f>1/A14</f>
        <v>0.2</v>
      </c>
      <c r="B16" s="18"/>
      <c r="C16" s="36"/>
      <c r="D16" s="36"/>
      <c r="E16" s="36"/>
    </row>
    <row r="17" spans="1:5" x14ac:dyDescent="0.45">
      <c r="A17" s="38" t="s">
        <v>6</v>
      </c>
      <c r="B17" s="36"/>
      <c r="C17" s="36"/>
      <c r="D17" s="36"/>
      <c r="E17" s="36"/>
    </row>
    <row r="18" spans="1:5" x14ac:dyDescent="0.45">
      <c r="A18" s="39">
        <f>SUM(B5:B11)</f>
        <v>1</v>
      </c>
      <c r="B18" s="18"/>
      <c r="C18" s="36"/>
      <c r="D18" s="36"/>
      <c r="E18" s="36"/>
    </row>
    <row r="19" spans="1:5" x14ac:dyDescent="0.45">
      <c r="A19" s="11"/>
      <c r="B19" s="11"/>
      <c r="C19" s="11"/>
      <c r="D19" s="11"/>
      <c r="E19" s="11"/>
    </row>
    <row r="20" spans="1:5" x14ac:dyDescent="0.45">
      <c r="A20" s="11"/>
      <c r="B20" s="11"/>
      <c r="C20" s="11"/>
      <c r="D20" s="11"/>
      <c r="E20" s="11"/>
    </row>
    <row r="21" spans="1:5" x14ac:dyDescent="0.45">
      <c r="A21" s="11"/>
      <c r="B21" s="11"/>
      <c r="C21" s="11"/>
      <c r="D21" s="11"/>
      <c r="E21" s="11"/>
    </row>
    <row r="22" spans="1:5" x14ac:dyDescent="0.45">
      <c r="A22" s="11"/>
      <c r="B22" s="11"/>
      <c r="C22" s="11"/>
      <c r="D22" s="11"/>
      <c r="E22" s="11"/>
    </row>
    <row r="23" spans="1:5" x14ac:dyDescent="0.45">
      <c r="A23" s="11"/>
      <c r="B23" s="11"/>
      <c r="C23" s="11"/>
      <c r="D23" s="11"/>
      <c r="E23" s="11"/>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row r="235" spans="1:5" x14ac:dyDescent="0.45">
      <c r="A235" s="11"/>
      <c r="B235" s="11"/>
      <c r="C235" s="11"/>
      <c r="D235" s="11"/>
      <c r="E235" s="11"/>
    </row>
    <row r="236" spans="1:5" x14ac:dyDescent="0.45">
      <c r="A236" s="11"/>
      <c r="B236" s="11"/>
      <c r="C236" s="11"/>
      <c r="D236" s="11"/>
      <c r="E236" s="11"/>
    </row>
  </sheetData>
  <mergeCells count="1">
    <mergeCell ref="A3:B3"/>
  </mergeCells>
  <conditionalFormatting sqref="A18">
    <cfRule type="cellIs" dxfId="17" priority="1" operator="greaterThan">
      <formula>1</formula>
    </cfRule>
    <cfRule type="cellIs" dxfId="16" priority="2" operator="lessThan">
      <formula>1</formula>
    </cfRule>
  </conditionalFormatting>
  <dataValidations count="3">
    <dataValidation type="list" allowBlank="1" showInputMessage="1" showErrorMessage="1" sqref="D5:D8" xr:uid="{00000000-0002-0000-1300-000000000000}">
      <formula1>Likert_Scale</formula1>
    </dataValidation>
    <dataValidation type="list" allowBlank="1" showInputMessage="1" showErrorMessage="1" sqref="D9:D11" xr:uid="{00000000-0002-0000-1300-000001000000}">
      <formula1>Boolean_Scale</formula1>
    </dataValidation>
    <dataValidation type="list" allowBlank="1" showInputMessage="1" showErrorMessage="1" sqref="A5:A11" xr:uid="{00000000-0002-0000-1300-000003000000}">
      <formula1>"Ja,Nein"</formula1>
    </dataValidation>
  </dataValidations>
  <pageMargins left="0.39370078740157483" right="0.39370078740157483" top="0.98425196850393704" bottom="0.78740157480314965" header="0.11811023622047245" footer="0.11811023622047245"/>
  <pageSetup paperSize="9" scale="69" orientation="landscape" r:id="rId1"/>
  <headerFooter>
    <oddHeader xml:space="preserve">&amp;L&amp;G
&amp;C&amp;14
&amp;16&amp;A&amp;R
&amp;G </oddHeader>
    <oddFooter>&amp;L&amp;F&amp;C&amp;P von &amp;N&amp;R&amp;D</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13">
    <tabColor rgb="FFFFFF00"/>
    <pageSetUpPr fitToPage="1"/>
  </sheetPr>
  <dimension ref="A1:E238"/>
  <sheetViews>
    <sheetView zoomScale="102" zoomScaleNormal="100" zoomScaleSheetLayoutView="100" workbookViewId="0">
      <selection activeCell="D11" sqref="D11"/>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108</v>
      </c>
      <c r="B1" s="2"/>
      <c r="C1" s="3"/>
      <c r="D1" s="4"/>
      <c r="E1" s="4"/>
    </row>
    <row r="2" spans="1:5" x14ac:dyDescent="0.45">
      <c r="A2" s="30"/>
      <c r="B2" s="30"/>
      <c r="C2" s="30"/>
      <c r="D2" s="30"/>
      <c r="E2" s="30"/>
    </row>
    <row r="3" spans="1:5" s="11" customFormat="1" ht="13.15" x14ac:dyDescent="0.4">
      <c r="A3" s="360"/>
      <c r="B3" s="360"/>
      <c r="C3" s="45"/>
      <c r="D3" s="9"/>
      <c r="E3" s="10"/>
    </row>
    <row r="4" spans="1:5" ht="39.4" x14ac:dyDescent="0.45">
      <c r="A4" s="277" t="s">
        <v>9</v>
      </c>
      <c r="B4" s="277" t="s">
        <v>20</v>
      </c>
      <c r="C4" s="278" t="s">
        <v>185</v>
      </c>
      <c r="D4" s="278" t="s">
        <v>22</v>
      </c>
      <c r="E4" s="278" t="s">
        <v>23</v>
      </c>
    </row>
    <row r="5" spans="1:5" ht="26.25" x14ac:dyDescent="0.45">
      <c r="A5" s="309" t="s">
        <v>10</v>
      </c>
      <c r="B5" s="31">
        <f>IF(A5="Nein", 0, $A$18)</f>
        <v>0.14285714285714285</v>
      </c>
      <c r="C5" s="21" t="s">
        <v>237</v>
      </c>
      <c r="D5" s="32" t="s">
        <v>10</v>
      </c>
      <c r="E5" s="33"/>
    </row>
    <row r="6" spans="1:5" ht="52.5" x14ac:dyDescent="0.45">
      <c r="A6" s="309" t="s">
        <v>10</v>
      </c>
      <c r="B6" s="31">
        <f>IF(A6="Nein", 0, $A$18)</f>
        <v>0.14285714285714285</v>
      </c>
      <c r="C6" s="21" t="s">
        <v>69</v>
      </c>
      <c r="D6" s="32" t="s">
        <v>13</v>
      </c>
      <c r="E6" s="33"/>
    </row>
    <row r="7" spans="1:5" x14ac:dyDescent="0.45">
      <c r="A7" s="309" t="s">
        <v>10</v>
      </c>
      <c r="B7" s="31">
        <f>IF(A7="Nein", 0, $A$18)</f>
        <v>0.14285714285714285</v>
      </c>
      <c r="C7" s="21" t="s">
        <v>78</v>
      </c>
      <c r="D7" s="32" t="s">
        <v>10</v>
      </c>
      <c r="E7" s="33"/>
    </row>
    <row r="8" spans="1:5" ht="39.4" x14ac:dyDescent="0.45">
      <c r="A8" s="309" t="s">
        <v>10</v>
      </c>
      <c r="B8" s="31">
        <f t="shared" ref="B8" si="0">IF(A8="Nein", 0, $A$18)</f>
        <v>0.14285714285714285</v>
      </c>
      <c r="C8" s="21" t="s">
        <v>79</v>
      </c>
      <c r="D8" s="32" t="s">
        <v>13</v>
      </c>
      <c r="E8" s="33"/>
    </row>
    <row r="9" spans="1:5" ht="39.4" x14ac:dyDescent="0.45">
      <c r="A9" s="309" t="s">
        <v>10</v>
      </c>
      <c r="B9" s="31">
        <f t="shared" ref="B9" si="1">IF(A9="Nein", 0, $A$18)</f>
        <v>0.14285714285714285</v>
      </c>
      <c r="C9" s="21" t="s">
        <v>167</v>
      </c>
      <c r="D9" s="32" t="s">
        <v>12</v>
      </c>
      <c r="E9" s="33"/>
    </row>
    <row r="10" spans="1:5" ht="78.75" x14ac:dyDescent="0.45">
      <c r="A10" s="309" t="s">
        <v>10</v>
      </c>
      <c r="B10" s="31">
        <f>IF(A10="Nein", 0, $A$18)</f>
        <v>0.14285714285714285</v>
      </c>
      <c r="C10" s="21" t="s">
        <v>126</v>
      </c>
      <c r="D10" s="32" t="s">
        <v>12</v>
      </c>
      <c r="E10" s="33"/>
    </row>
    <row r="11" spans="1:5" x14ac:dyDescent="0.45">
      <c r="A11" s="309" t="s">
        <v>10</v>
      </c>
      <c r="B11" s="31">
        <f>IF(A11="Nein", 0, $A$18)</f>
        <v>0.14285714285714285</v>
      </c>
      <c r="C11" s="21" t="s">
        <v>166</v>
      </c>
      <c r="D11" s="32" t="s">
        <v>10</v>
      </c>
      <c r="E11" s="33"/>
    </row>
    <row r="12" spans="1:5" x14ac:dyDescent="0.45">
      <c r="A12" s="309" t="s">
        <v>16</v>
      </c>
      <c r="B12" s="31">
        <f>IF(A12="Nein", 0, $A$18)</f>
        <v>0</v>
      </c>
      <c r="C12" s="312"/>
      <c r="D12" s="32" t="s">
        <v>10</v>
      </c>
      <c r="E12" s="33"/>
    </row>
    <row r="13" spans="1:5" x14ac:dyDescent="0.45">
      <c r="A13" s="309" t="s">
        <v>16</v>
      </c>
      <c r="B13" s="31">
        <f>IF(A13="Nein", 0, $A$18)</f>
        <v>0</v>
      </c>
      <c r="C13" s="312"/>
      <c r="D13" s="32" t="s">
        <v>10</v>
      </c>
      <c r="E13" s="50"/>
    </row>
    <row r="14" spans="1:5" x14ac:dyDescent="0.45">
      <c r="A14" s="34"/>
      <c r="B14" s="34"/>
      <c r="C14" s="34"/>
      <c r="D14" s="34"/>
      <c r="E14" s="34"/>
    </row>
    <row r="15" spans="1:5" x14ac:dyDescent="0.45">
      <c r="A15" s="35" t="s">
        <v>17</v>
      </c>
      <c r="B15" s="36"/>
      <c r="C15" s="36"/>
      <c r="D15" s="36"/>
      <c r="E15" s="36"/>
    </row>
    <row r="16" spans="1:5" x14ac:dyDescent="0.45">
      <c r="A16" s="37">
        <f>COUNTIF(A5:A13, "Ja")</f>
        <v>7</v>
      </c>
      <c r="B16" s="18"/>
      <c r="C16" s="36"/>
      <c r="D16" s="36"/>
      <c r="E16" s="36"/>
    </row>
    <row r="17" spans="1:5" x14ac:dyDescent="0.45">
      <c r="A17" s="38" t="s">
        <v>18</v>
      </c>
      <c r="B17" s="36"/>
      <c r="C17" s="36"/>
      <c r="D17" s="36"/>
      <c r="E17" s="36"/>
    </row>
    <row r="18" spans="1:5" x14ac:dyDescent="0.45">
      <c r="A18" s="39">
        <f>1/A16</f>
        <v>0.14285714285714285</v>
      </c>
      <c r="B18" s="18"/>
      <c r="C18" s="36"/>
      <c r="D18" s="36"/>
      <c r="E18" s="36"/>
    </row>
    <row r="19" spans="1:5" x14ac:dyDescent="0.45">
      <c r="A19" s="38" t="s">
        <v>6</v>
      </c>
      <c r="B19" s="36"/>
      <c r="C19" s="36"/>
      <c r="D19" s="36"/>
      <c r="E19" s="36"/>
    </row>
    <row r="20" spans="1:5" x14ac:dyDescent="0.45">
      <c r="A20" s="39">
        <f>SUM(B5:B13)</f>
        <v>0.99999999999999978</v>
      </c>
      <c r="B20" s="18"/>
      <c r="C20" s="36"/>
      <c r="D20" s="36"/>
      <c r="E20" s="36"/>
    </row>
    <row r="21" spans="1:5" x14ac:dyDescent="0.45">
      <c r="A21" s="11"/>
      <c r="B21" s="11"/>
      <c r="C21" s="11"/>
      <c r="D21" s="11"/>
      <c r="E21" s="11"/>
    </row>
    <row r="22" spans="1:5" x14ac:dyDescent="0.45">
      <c r="A22" s="11"/>
      <c r="B22" s="11"/>
      <c r="C22" s="11"/>
      <c r="D22" s="11"/>
      <c r="E22" s="11"/>
    </row>
    <row r="23" spans="1:5" x14ac:dyDescent="0.45">
      <c r="A23" s="11"/>
      <c r="B23" s="11"/>
      <c r="C23" s="11"/>
      <c r="D23" s="11"/>
      <c r="E23" s="11"/>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row r="235" spans="1:5" x14ac:dyDescent="0.45">
      <c r="A235" s="11"/>
      <c r="B235" s="11"/>
      <c r="C235" s="11"/>
      <c r="D235" s="11"/>
      <c r="E235" s="11"/>
    </row>
    <row r="236" spans="1:5" x14ac:dyDescent="0.45">
      <c r="A236" s="11"/>
      <c r="B236" s="11"/>
      <c r="C236" s="11"/>
      <c r="D236" s="11"/>
      <c r="E236" s="11"/>
    </row>
    <row r="237" spans="1:5" x14ac:dyDescent="0.45">
      <c r="A237" s="11"/>
      <c r="B237" s="11"/>
      <c r="C237" s="11"/>
      <c r="D237" s="11"/>
      <c r="E237" s="11"/>
    </row>
    <row r="238" spans="1:5" x14ac:dyDescent="0.45">
      <c r="A238" s="11"/>
      <c r="B238" s="11"/>
      <c r="C238" s="11"/>
      <c r="D238" s="11"/>
      <c r="E238" s="11"/>
    </row>
  </sheetData>
  <mergeCells count="1">
    <mergeCell ref="A3:B3"/>
  </mergeCells>
  <conditionalFormatting sqref="A20">
    <cfRule type="cellIs" dxfId="15" priority="1" operator="greaterThan">
      <formula>1</formula>
    </cfRule>
    <cfRule type="cellIs" dxfId="14" priority="2" operator="lessThan">
      <formula>1</formula>
    </cfRule>
  </conditionalFormatting>
  <dataValidations count="3">
    <dataValidation type="list" allowBlank="1" showInputMessage="1" showErrorMessage="1" sqref="D6 D8:D10" xr:uid="{00000000-0002-0000-1400-000000000000}">
      <formula1>Likert_Scale</formula1>
    </dataValidation>
    <dataValidation type="list" allowBlank="1" showInputMessage="1" showErrorMessage="1" sqref="D11:D13 D5 D7" xr:uid="{00000000-0002-0000-1400-000001000000}">
      <formula1>Boolean_Scale</formula1>
    </dataValidation>
    <dataValidation type="list" allowBlank="1" showInputMessage="1" showErrorMessage="1" sqref="A5:A13" xr:uid="{00000000-0002-0000-1400-000002000000}">
      <formula1>"Ja,Nein"</formula1>
    </dataValidation>
  </dataValidations>
  <pageMargins left="0.39370078740157483" right="0.39370078740157483" top="0.98425196850393704" bottom="0.78740157480314965" header="0.11811023622047245" footer="0.11811023622047245"/>
  <pageSetup paperSize="9" scale="84" orientation="landscape" r:id="rId1"/>
  <headerFooter>
    <oddHeader xml:space="preserve">&amp;L&amp;G
&amp;C&amp;14
&amp;16&amp;A&amp;R
&amp;G </oddHeader>
    <oddFooter>&amp;L&amp;F&amp;C&amp;P von &amp;N&amp;R&amp;D</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15">
    <tabColor rgb="FFFFFF00"/>
    <pageSetUpPr fitToPage="1"/>
  </sheetPr>
  <dimension ref="A1:E238"/>
  <sheetViews>
    <sheetView zoomScaleNormal="100" zoomScaleSheetLayoutView="100" workbookViewId="0">
      <selection activeCell="D11" sqref="D11"/>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109</v>
      </c>
      <c r="B1" s="2"/>
      <c r="C1" s="3"/>
      <c r="D1" s="4"/>
      <c r="E1" s="4"/>
    </row>
    <row r="2" spans="1:5" x14ac:dyDescent="0.45">
      <c r="A2" s="30"/>
      <c r="B2" s="30"/>
      <c r="C2" s="30"/>
      <c r="D2" s="30"/>
      <c r="E2" s="30"/>
    </row>
    <row r="3" spans="1:5" s="11" customFormat="1" ht="13.15" x14ac:dyDescent="0.4">
      <c r="A3" s="360"/>
      <c r="B3" s="360"/>
      <c r="C3" s="45"/>
      <c r="D3" s="9"/>
      <c r="E3" s="10"/>
    </row>
    <row r="4" spans="1:5" ht="39.4" x14ac:dyDescent="0.45">
      <c r="A4" s="277" t="s">
        <v>9</v>
      </c>
      <c r="B4" s="277" t="s">
        <v>20</v>
      </c>
      <c r="C4" s="278" t="s">
        <v>185</v>
      </c>
      <c r="D4" s="278" t="s">
        <v>22</v>
      </c>
      <c r="E4" s="278" t="s">
        <v>23</v>
      </c>
    </row>
    <row r="5" spans="1:5" ht="26.25" x14ac:dyDescent="0.45">
      <c r="A5" s="309" t="s">
        <v>10</v>
      </c>
      <c r="B5" s="31">
        <f t="shared" ref="B5:B10" si="0">IF(A5="Nein", 0, $A$18)</f>
        <v>0.14285714285714285</v>
      </c>
      <c r="C5" s="21" t="s">
        <v>238</v>
      </c>
      <c r="D5" s="32" t="s">
        <v>10</v>
      </c>
      <c r="E5" s="33"/>
    </row>
    <row r="6" spans="1:5" ht="26.25" x14ac:dyDescent="0.45">
      <c r="A6" s="309" t="s">
        <v>10</v>
      </c>
      <c r="B6" s="31">
        <f t="shared" si="0"/>
        <v>0.14285714285714285</v>
      </c>
      <c r="C6" s="21" t="s">
        <v>239</v>
      </c>
      <c r="D6" s="32" t="s">
        <v>10</v>
      </c>
      <c r="E6" s="33"/>
    </row>
    <row r="7" spans="1:5" ht="78.75" x14ac:dyDescent="0.45">
      <c r="A7" s="309" t="s">
        <v>10</v>
      </c>
      <c r="B7" s="31">
        <f t="shared" si="0"/>
        <v>0.14285714285714285</v>
      </c>
      <c r="C7" s="55" t="s">
        <v>240</v>
      </c>
      <c r="D7" s="32" t="s">
        <v>10</v>
      </c>
      <c r="E7" s="33"/>
    </row>
    <row r="8" spans="1:5" ht="26.25" x14ac:dyDescent="0.45">
      <c r="A8" s="309" t="s">
        <v>10</v>
      </c>
      <c r="B8" s="31">
        <f t="shared" si="0"/>
        <v>0.14285714285714285</v>
      </c>
      <c r="C8" s="55" t="s">
        <v>168</v>
      </c>
      <c r="D8" s="32" t="s">
        <v>16</v>
      </c>
      <c r="E8" s="33"/>
    </row>
    <row r="9" spans="1:5" ht="26.25" x14ac:dyDescent="0.45">
      <c r="A9" s="309" t="s">
        <v>10</v>
      </c>
      <c r="B9" s="31">
        <f t="shared" si="0"/>
        <v>0.14285714285714285</v>
      </c>
      <c r="C9" s="21" t="s">
        <v>241</v>
      </c>
      <c r="D9" s="32" t="s">
        <v>12</v>
      </c>
      <c r="E9" s="33"/>
    </row>
    <row r="10" spans="1:5" ht="26.25" x14ac:dyDescent="0.45">
      <c r="A10" s="309" t="s">
        <v>10</v>
      </c>
      <c r="B10" s="31">
        <f t="shared" si="0"/>
        <v>0.14285714285714285</v>
      </c>
      <c r="C10" s="21" t="s">
        <v>242</v>
      </c>
      <c r="D10" s="32" t="s">
        <v>14</v>
      </c>
      <c r="E10" s="33"/>
    </row>
    <row r="11" spans="1:5" ht="39.4" x14ac:dyDescent="0.45">
      <c r="A11" s="309" t="s">
        <v>10</v>
      </c>
      <c r="B11" s="31">
        <f t="shared" ref="B11" si="1">IF(A11="Nein", 0, $A$18)</f>
        <v>0.14285714285714285</v>
      </c>
      <c r="C11" s="21" t="s">
        <v>243</v>
      </c>
      <c r="D11" s="32" t="s">
        <v>10</v>
      </c>
      <c r="E11" s="33"/>
    </row>
    <row r="12" spans="1:5" x14ac:dyDescent="0.45">
      <c r="A12" s="309" t="s">
        <v>16</v>
      </c>
      <c r="B12" s="31">
        <f>IF(A12="Nein", 0, $A$18)</f>
        <v>0</v>
      </c>
      <c r="C12" s="312"/>
      <c r="D12" s="32" t="s">
        <v>10</v>
      </c>
      <c r="E12" s="33"/>
    </row>
    <row r="13" spans="1:5" x14ac:dyDescent="0.45">
      <c r="A13" s="309" t="s">
        <v>16</v>
      </c>
      <c r="B13" s="31">
        <f>IF(A13="Nein", 0, $A$18)</f>
        <v>0</v>
      </c>
      <c r="C13" s="312"/>
      <c r="D13" s="32" t="s">
        <v>10</v>
      </c>
      <c r="E13" s="50"/>
    </row>
    <row r="14" spans="1:5" x14ac:dyDescent="0.45">
      <c r="A14" s="34"/>
      <c r="B14" s="34"/>
      <c r="C14" s="34"/>
      <c r="D14" s="34"/>
      <c r="E14" s="34"/>
    </row>
    <row r="15" spans="1:5" x14ac:dyDescent="0.45">
      <c r="A15" s="35" t="s">
        <v>17</v>
      </c>
      <c r="B15" s="36"/>
      <c r="C15" s="36"/>
      <c r="D15" s="36"/>
      <c r="E15" s="36"/>
    </row>
    <row r="16" spans="1:5" x14ac:dyDescent="0.45">
      <c r="A16" s="37">
        <f>COUNTIF(A5:A13, "Ja")</f>
        <v>7</v>
      </c>
      <c r="B16" s="18"/>
      <c r="C16" s="36"/>
      <c r="D16" s="36"/>
      <c r="E16" s="36"/>
    </row>
    <row r="17" spans="1:5" x14ac:dyDescent="0.45">
      <c r="A17" s="38" t="s">
        <v>18</v>
      </c>
      <c r="B17" s="36"/>
      <c r="C17" s="36"/>
      <c r="D17" s="36"/>
      <c r="E17" s="36"/>
    </row>
    <row r="18" spans="1:5" x14ac:dyDescent="0.45">
      <c r="A18" s="39">
        <f>1/A16</f>
        <v>0.14285714285714285</v>
      </c>
      <c r="B18" s="18"/>
      <c r="C18" s="36"/>
      <c r="D18" s="36"/>
      <c r="E18" s="36"/>
    </row>
    <row r="19" spans="1:5" x14ac:dyDescent="0.45">
      <c r="A19" s="38" t="s">
        <v>6</v>
      </c>
      <c r="B19" s="36"/>
      <c r="C19" s="36"/>
      <c r="D19" s="36"/>
      <c r="E19" s="36"/>
    </row>
    <row r="20" spans="1:5" x14ac:dyDescent="0.45">
      <c r="A20" s="39">
        <f>SUM(B5:B13)</f>
        <v>0.99999999999999978</v>
      </c>
      <c r="B20" s="18"/>
      <c r="C20" s="36"/>
      <c r="D20" s="36"/>
      <c r="E20" s="36"/>
    </row>
    <row r="21" spans="1:5" x14ac:dyDescent="0.45">
      <c r="A21" s="11"/>
      <c r="B21" s="11"/>
      <c r="C21" s="11"/>
      <c r="D21" s="11"/>
      <c r="E21" s="11"/>
    </row>
    <row r="22" spans="1:5" x14ac:dyDescent="0.45">
      <c r="A22" s="11"/>
      <c r="B22" s="11"/>
      <c r="C22" s="11"/>
      <c r="D22" s="11"/>
      <c r="E22" s="11"/>
    </row>
    <row r="23" spans="1:5" x14ac:dyDescent="0.45">
      <c r="A23" s="11"/>
      <c r="B23" s="11"/>
      <c r="C23" s="11"/>
      <c r="D23" s="11"/>
      <c r="E23" s="11"/>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row r="235" spans="1:5" x14ac:dyDescent="0.45">
      <c r="A235" s="11"/>
      <c r="B235" s="11"/>
      <c r="C235" s="11"/>
      <c r="D235" s="11"/>
      <c r="E235" s="11"/>
    </row>
    <row r="236" spans="1:5" x14ac:dyDescent="0.45">
      <c r="A236" s="11"/>
      <c r="B236" s="11"/>
      <c r="C236" s="11"/>
      <c r="D236" s="11"/>
      <c r="E236" s="11"/>
    </row>
    <row r="237" spans="1:5" x14ac:dyDescent="0.45">
      <c r="A237" s="11"/>
      <c r="B237" s="11"/>
      <c r="C237" s="11"/>
      <c r="D237" s="11"/>
      <c r="E237" s="11"/>
    </row>
    <row r="238" spans="1:5" x14ac:dyDescent="0.45">
      <c r="A238" s="11"/>
      <c r="B238" s="11"/>
      <c r="C238" s="11"/>
      <c r="D238" s="11"/>
      <c r="E238" s="11"/>
    </row>
  </sheetData>
  <mergeCells count="1">
    <mergeCell ref="A3:B3"/>
  </mergeCells>
  <conditionalFormatting sqref="A20">
    <cfRule type="cellIs" dxfId="13" priority="1" operator="greaterThan">
      <formula>1</formula>
    </cfRule>
    <cfRule type="cellIs" dxfId="12" priority="2" operator="lessThan">
      <formula>1</formula>
    </cfRule>
  </conditionalFormatting>
  <dataValidations count="3">
    <dataValidation type="list" allowBlank="1" showInputMessage="1" showErrorMessage="1" sqref="D11:D13 D5:D8" xr:uid="{00000000-0002-0000-1500-000000000000}">
      <formula1>Boolean_Scale</formula1>
    </dataValidation>
    <dataValidation type="list" allowBlank="1" showInputMessage="1" showErrorMessage="1" sqref="D9:D10" xr:uid="{00000000-0002-0000-1500-000001000000}">
      <formula1>Likert_Scale</formula1>
    </dataValidation>
    <dataValidation type="list" allowBlank="1" showInputMessage="1" showErrorMessage="1" sqref="A5:A13" xr:uid="{00000000-0002-0000-1500-000003000000}">
      <formula1>"Ja,Nein"</formula1>
    </dataValidation>
  </dataValidations>
  <pageMargins left="0.39370078740157483" right="0.39370078740157483" top="0.98425196850393704" bottom="0.78740157480314965" header="0.11811023622047245" footer="0.11811023622047245"/>
  <pageSetup paperSize="9" scale="84" orientation="landscape" r:id="rId1"/>
  <headerFooter>
    <oddHeader xml:space="preserve">&amp;L&amp;G
&amp;C&amp;14
&amp;16&amp;A&amp;R
&amp;G </oddHeader>
    <oddFooter>&amp;L&amp;F&amp;C&amp;P von &amp;N&amp;R&amp;D</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16">
    <tabColor rgb="FFFFC000"/>
    <pageSetUpPr fitToPage="1"/>
  </sheetPr>
  <dimension ref="A1:F234"/>
  <sheetViews>
    <sheetView topLeftCell="A4" zoomScaleNormal="100" zoomScaleSheetLayoutView="100" workbookViewId="0">
      <selection activeCell="D10" sqref="D10"/>
    </sheetView>
  </sheetViews>
  <sheetFormatPr baseColWidth="10" defaultColWidth="80.265625" defaultRowHeight="14.25" x14ac:dyDescent="0.45"/>
  <cols>
    <col min="1" max="2" width="11.73046875" style="147" customWidth="1"/>
    <col min="3" max="3" width="80.265625" style="147"/>
    <col min="4" max="4" width="20.3984375" style="147" customWidth="1"/>
    <col min="5" max="5" width="41.1328125" style="147" customWidth="1"/>
    <col min="6" max="6" width="37.86328125" style="147" customWidth="1"/>
    <col min="7" max="7" width="5" style="147" customWidth="1"/>
    <col min="8" max="16384" width="80.265625" style="147"/>
  </cols>
  <sheetData>
    <row r="1" spans="1:5" s="145" customFormat="1" ht="15.75" x14ac:dyDescent="0.5">
      <c r="A1" s="1" t="s">
        <v>110</v>
      </c>
      <c r="B1" s="142"/>
      <c r="C1" s="143"/>
      <c r="D1" s="144"/>
      <c r="E1" s="144"/>
    </row>
    <row r="2" spans="1:5" x14ac:dyDescent="0.45">
      <c r="A2" s="146"/>
      <c r="B2" s="146"/>
      <c r="C2" s="146"/>
      <c r="D2" s="146"/>
      <c r="E2" s="146"/>
    </row>
    <row r="3" spans="1:5" s="145" customFormat="1" ht="13.15" x14ac:dyDescent="0.4">
      <c r="A3" s="363"/>
      <c r="B3" s="363"/>
      <c r="C3" s="148"/>
      <c r="D3" s="149"/>
      <c r="E3" s="150"/>
    </row>
    <row r="4" spans="1:5" ht="39.4" x14ac:dyDescent="0.45">
      <c r="A4" s="277" t="s">
        <v>9</v>
      </c>
      <c r="B4" s="277" t="s">
        <v>20</v>
      </c>
      <c r="C4" s="278" t="s">
        <v>185</v>
      </c>
      <c r="D4" s="278" t="s">
        <v>22</v>
      </c>
      <c r="E4" s="278" t="s">
        <v>23</v>
      </c>
    </row>
    <row r="5" spans="1:5" ht="26.25" x14ac:dyDescent="0.45">
      <c r="A5" s="319" t="s">
        <v>10</v>
      </c>
      <c r="B5" s="151">
        <f t="shared" ref="B5:B10" si="0">IF(A5="Nein", 0, $A$17)</f>
        <v>0.16666666666666666</v>
      </c>
      <c r="C5" s="152" t="s">
        <v>74</v>
      </c>
      <c r="D5" s="153" t="s">
        <v>14</v>
      </c>
      <c r="E5" s="154"/>
    </row>
    <row r="6" spans="1:5" ht="105" x14ac:dyDescent="0.45">
      <c r="A6" s="319" t="s">
        <v>10</v>
      </c>
      <c r="B6" s="151">
        <f t="shared" si="0"/>
        <v>0.16666666666666666</v>
      </c>
      <c r="C6" s="21" t="s">
        <v>158</v>
      </c>
      <c r="D6" s="153" t="s">
        <v>14</v>
      </c>
      <c r="E6" s="154"/>
    </row>
    <row r="7" spans="1:5" x14ac:dyDescent="0.45">
      <c r="A7" s="319" t="s">
        <v>10</v>
      </c>
      <c r="B7" s="151">
        <f t="shared" si="0"/>
        <v>0.16666666666666666</v>
      </c>
      <c r="C7" s="152" t="s">
        <v>76</v>
      </c>
      <c r="D7" s="153" t="s">
        <v>10</v>
      </c>
      <c r="E7" s="154"/>
    </row>
    <row r="8" spans="1:5" ht="26.25" x14ac:dyDescent="0.45">
      <c r="A8" s="319" t="s">
        <v>10</v>
      </c>
      <c r="B8" s="151">
        <f t="shared" si="0"/>
        <v>0.16666666666666666</v>
      </c>
      <c r="C8" s="152" t="s">
        <v>75</v>
      </c>
      <c r="D8" s="153" t="s">
        <v>10</v>
      </c>
      <c r="E8" s="154"/>
    </row>
    <row r="9" spans="1:5" ht="144.4" x14ac:dyDescent="0.45">
      <c r="A9" s="319" t="s">
        <v>10</v>
      </c>
      <c r="B9" s="151">
        <f t="shared" si="0"/>
        <v>0.16666666666666666</v>
      </c>
      <c r="C9" s="21" t="s">
        <v>244</v>
      </c>
      <c r="D9" s="153" t="s">
        <v>14</v>
      </c>
      <c r="E9" s="154"/>
    </row>
    <row r="10" spans="1:5" ht="52.5" x14ac:dyDescent="0.45">
      <c r="A10" s="319" t="s">
        <v>10</v>
      </c>
      <c r="B10" s="151">
        <f t="shared" si="0"/>
        <v>0.16666666666666666</v>
      </c>
      <c r="C10" s="21" t="s">
        <v>245</v>
      </c>
      <c r="D10" s="153" t="s">
        <v>13</v>
      </c>
      <c r="E10" s="154"/>
    </row>
    <row r="11" spans="1:5" x14ac:dyDescent="0.45">
      <c r="A11" s="319" t="s">
        <v>16</v>
      </c>
      <c r="B11" s="151">
        <f t="shared" ref="B11:B12" si="1">IF(A11="Nein", 0, $A$17)</f>
        <v>0</v>
      </c>
      <c r="C11" s="315"/>
      <c r="D11" s="153" t="s">
        <v>10</v>
      </c>
      <c r="E11" s="154"/>
    </row>
    <row r="12" spans="1:5" x14ac:dyDescent="0.45">
      <c r="A12" s="319" t="s">
        <v>16</v>
      </c>
      <c r="B12" s="151">
        <f t="shared" si="1"/>
        <v>0</v>
      </c>
      <c r="C12" s="315"/>
      <c r="D12" s="153" t="s">
        <v>10</v>
      </c>
      <c r="E12" s="154"/>
    </row>
    <row r="13" spans="1:5" x14ac:dyDescent="0.45">
      <c r="A13" s="155"/>
      <c r="B13" s="155"/>
      <c r="C13" s="155"/>
      <c r="D13" s="155"/>
      <c r="E13" s="155"/>
    </row>
    <row r="14" spans="1:5" x14ac:dyDescent="0.45">
      <c r="A14" s="156" t="s">
        <v>17</v>
      </c>
      <c r="B14" s="157"/>
      <c r="C14" s="157"/>
      <c r="D14" s="157"/>
      <c r="E14" s="157"/>
    </row>
    <row r="15" spans="1:5" x14ac:dyDescent="0.45">
      <c r="A15" s="158">
        <f>COUNTIF(A5:A12, "Ja")</f>
        <v>6</v>
      </c>
      <c r="B15" s="159"/>
      <c r="C15" s="157"/>
      <c r="D15" s="157"/>
      <c r="E15" s="157"/>
    </row>
    <row r="16" spans="1:5" x14ac:dyDescent="0.45">
      <c r="A16" s="160" t="s">
        <v>18</v>
      </c>
      <c r="B16" s="157"/>
      <c r="C16" s="157"/>
      <c r="D16" s="157"/>
      <c r="E16" s="157"/>
    </row>
    <row r="17" spans="1:6" x14ac:dyDescent="0.45">
      <c r="A17" s="161">
        <f>1/A15</f>
        <v>0.16666666666666666</v>
      </c>
      <c r="B17" s="159"/>
      <c r="C17" s="157"/>
      <c r="D17" s="157"/>
      <c r="E17" s="157"/>
    </row>
    <row r="18" spans="1:6" x14ac:dyDescent="0.45">
      <c r="A18" s="160" t="s">
        <v>6</v>
      </c>
      <c r="B18" s="157"/>
      <c r="C18" s="157"/>
      <c r="D18" s="157"/>
      <c r="E18" s="157"/>
    </row>
    <row r="19" spans="1:6" x14ac:dyDescent="0.45">
      <c r="A19" s="161">
        <f>SUM(B5:B12)</f>
        <v>0.99999999999999989</v>
      </c>
      <c r="B19" s="159"/>
      <c r="C19" s="157"/>
      <c r="D19" s="157"/>
      <c r="E19" s="157"/>
    </row>
    <row r="20" spans="1:6" x14ac:dyDescent="0.45">
      <c r="A20" s="145"/>
      <c r="B20" s="145"/>
      <c r="C20" s="145"/>
      <c r="D20" s="145"/>
      <c r="E20" s="145"/>
      <c r="F20" s="145"/>
    </row>
    <row r="21" spans="1:6" x14ac:dyDescent="0.45">
      <c r="A21" s="145"/>
      <c r="B21" s="145"/>
      <c r="C21" s="145"/>
      <c r="D21" s="145"/>
      <c r="E21" s="145"/>
      <c r="F21" s="145"/>
    </row>
    <row r="22" spans="1:6" x14ac:dyDescent="0.45">
      <c r="A22" s="145"/>
      <c r="B22" s="145"/>
      <c r="C22" s="145"/>
      <c r="D22" s="145"/>
      <c r="E22" s="145"/>
      <c r="F22" s="145"/>
    </row>
    <row r="23" spans="1:6" x14ac:dyDescent="0.45">
      <c r="A23" s="145"/>
      <c r="B23" s="145"/>
      <c r="C23" s="145"/>
      <c r="D23" s="145"/>
      <c r="E23" s="145"/>
      <c r="F23" s="145"/>
    </row>
    <row r="24" spans="1:6" x14ac:dyDescent="0.45">
      <c r="A24" s="145"/>
      <c r="B24" s="145"/>
      <c r="C24" s="145"/>
      <c r="D24" s="145"/>
      <c r="E24" s="145"/>
      <c r="F24" s="145"/>
    </row>
    <row r="25" spans="1:6" x14ac:dyDescent="0.45">
      <c r="A25" s="145"/>
      <c r="B25" s="145"/>
      <c r="C25" s="145"/>
      <c r="D25" s="145"/>
      <c r="E25" s="145"/>
      <c r="F25" s="145"/>
    </row>
    <row r="26" spans="1:6" x14ac:dyDescent="0.45">
      <c r="A26" s="145"/>
      <c r="B26" s="145"/>
      <c r="C26" s="145"/>
      <c r="D26" s="145"/>
      <c r="E26" s="145"/>
      <c r="F26" s="145"/>
    </row>
    <row r="27" spans="1:6" x14ac:dyDescent="0.45">
      <c r="A27" s="145"/>
      <c r="B27" s="145"/>
      <c r="C27" s="145"/>
      <c r="D27" s="145"/>
      <c r="E27" s="145"/>
      <c r="F27" s="145"/>
    </row>
    <row r="28" spans="1:6" x14ac:dyDescent="0.45">
      <c r="A28" s="145"/>
      <c r="B28" s="145"/>
      <c r="C28" s="145"/>
      <c r="D28" s="145"/>
      <c r="E28" s="145"/>
      <c r="F28" s="145"/>
    </row>
    <row r="29" spans="1:6" x14ac:dyDescent="0.45">
      <c r="A29" s="145"/>
      <c r="B29" s="145"/>
      <c r="C29" s="145"/>
      <c r="D29" s="145"/>
      <c r="E29" s="145"/>
      <c r="F29" s="145"/>
    </row>
    <row r="30" spans="1:6" x14ac:dyDescent="0.45">
      <c r="A30" s="145"/>
      <c r="B30" s="145"/>
      <c r="C30" s="145"/>
      <c r="D30" s="145"/>
      <c r="E30" s="145"/>
      <c r="F30" s="145"/>
    </row>
    <row r="31" spans="1:6" x14ac:dyDescent="0.45">
      <c r="A31" s="145"/>
      <c r="B31" s="145"/>
      <c r="C31" s="145"/>
      <c r="D31" s="145"/>
      <c r="E31" s="145"/>
      <c r="F31" s="145"/>
    </row>
    <row r="32" spans="1:6" x14ac:dyDescent="0.45">
      <c r="A32" s="145"/>
      <c r="B32" s="145"/>
      <c r="C32" s="145"/>
      <c r="D32" s="145"/>
      <c r="E32" s="145"/>
      <c r="F32" s="145"/>
    </row>
    <row r="33" spans="1:6" x14ac:dyDescent="0.45">
      <c r="A33" s="145"/>
      <c r="B33" s="145"/>
      <c r="C33" s="145"/>
      <c r="D33" s="145"/>
      <c r="E33" s="145"/>
      <c r="F33" s="145"/>
    </row>
    <row r="34" spans="1:6" x14ac:dyDescent="0.45">
      <c r="A34" s="145"/>
      <c r="B34" s="145"/>
      <c r="C34" s="145"/>
      <c r="D34" s="145"/>
      <c r="E34" s="145"/>
      <c r="F34" s="145"/>
    </row>
    <row r="35" spans="1:6" x14ac:dyDescent="0.45">
      <c r="A35" s="145"/>
      <c r="B35" s="145"/>
      <c r="C35" s="145"/>
      <c r="D35" s="145"/>
      <c r="E35" s="145"/>
      <c r="F35" s="145"/>
    </row>
    <row r="36" spans="1:6" x14ac:dyDescent="0.45">
      <c r="A36" s="145"/>
      <c r="B36" s="145"/>
      <c r="C36" s="145"/>
      <c r="D36" s="145"/>
      <c r="E36" s="145"/>
      <c r="F36" s="145"/>
    </row>
    <row r="37" spans="1:6" x14ac:dyDescent="0.45">
      <c r="A37" s="145"/>
      <c r="B37" s="145"/>
      <c r="C37" s="145"/>
      <c r="D37" s="145"/>
      <c r="E37" s="145"/>
      <c r="F37" s="145"/>
    </row>
    <row r="38" spans="1:6" x14ac:dyDescent="0.45">
      <c r="A38" s="145"/>
      <c r="B38" s="145"/>
      <c r="C38" s="145"/>
      <c r="D38" s="145"/>
      <c r="E38" s="145"/>
      <c r="F38" s="145"/>
    </row>
    <row r="39" spans="1:6" x14ac:dyDescent="0.45">
      <c r="A39" s="145"/>
      <c r="B39" s="145"/>
      <c r="C39" s="145"/>
      <c r="D39" s="145"/>
      <c r="E39" s="145"/>
      <c r="F39" s="145"/>
    </row>
    <row r="40" spans="1:6" x14ac:dyDescent="0.45">
      <c r="A40" s="145"/>
      <c r="B40" s="145"/>
      <c r="C40" s="145"/>
      <c r="D40" s="145"/>
      <c r="E40" s="145"/>
      <c r="F40" s="145"/>
    </row>
    <row r="41" spans="1:6" x14ac:dyDescent="0.45">
      <c r="A41" s="145"/>
      <c r="B41" s="145"/>
      <c r="C41" s="145"/>
      <c r="D41" s="145"/>
      <c r="E41" s="145"/>
      <c r="F41" s="145"/>
    </row>
    <row r="42" spans="1:6" x14ac:dyDescent="0.45">
      <c r="A42" s="145"/>
      <c r="B42" s="145"/>
      <c r="C42" s="145"/>
      <c r="D42" s="145"/>
      <c r="E42" s="145"/>
      <c r="F42" s="145"/>
    </row>
    <row r="43" spans="1:6" x14ac:dyDescent="0.45">
      <c r="A43" s="145"/>
      <c r="B43" s="145"/>
      <c r="C43" s="145"/>
      <c r="D43" s="145"/>
      <c r="E43" s="145"/>
      <c r="F43" s="145"/>
    </row>
    <row r="44" spans="1:6" x14ac:dyDescent="0.45">
      <c r="A44" s="145"/>
      <c r="B44" s="145"/>
      <c r="C44" s="145"/>
      <c r="D44" s="145"/>
      <c r="E44" s="145"/>
      <c r="F44" s="145"/>
    </row>
    <row r="45" spans="1:6" x14ac:dyDescent="0.45">
      <c r="A45" s="145"/>
      <c r="B45" s="145"/>
      <c r="C45" s="145"/>
      <c r="D45" s="145"/>
      <c r="E45" s="145"/>
      <c r="F45" s="145"/>
    </row>
    <row r="46" spans="1:6" x14ac:dyDescent="0.45">
      <c r="A46" s="145"/>
      <c r="B46" s="145"/>
      <c r="C46" s="145"/>
      <c r="D46" s="145"/>
      <c r="E46" s="145"/>
      <c r="F46" s="145"/>
    </row>
    <row r="47" spans="1:6" x14ac:dyDescent="0.45">
      <c r="A47" s="145"/>
      <c r="B47" s="145"/>
      <c r="C47" s="145"/>
      <c r="D47" s="145"/>
      <c r="E47" s="145"/>
      <c r="F47" s="145"/>
    </row>
    <row r="48" spans="1:6" x14ac:dyDescent="0.45">
      <c r="A48" s="145"/>
      <c r="B48" s="145"/>
      <c r="C48" s="145"/>
      <c r="D48" s="145"/>
      <c r="E48" s="145"/>
      <c r="F48" s="145"/>
    </row>
    <row r="49" spans="1:6" x14ac:dyDescent="0.45">
      <c r="A49" s="145"/>
      <c r="B49" s="145"/>
      <c r="C49" s="145"/>
      <c r="D49" s="145"/>
      <c r="E49" s="145"/>
      <c r="F49" s="145"/>
    </row>
    <row r="50" spans="1:6" x14ac:dyDescent="0.45">
      <c r="A50" s="145"/>
      <c r="B50" s="145"/>
      <c r="C50" s="145"/>
      <c r="D50" s="145"/>
      <c r="E50" s="145"/>
      <c r="F50" s="145"/>
    </row>
    <row r="51" spans="1:6" x14ac:dyDescent="0.45">
      <c r="A51" s="145"/>
      <c r="B51" s="145"/>
      <c r="C51" s="145"/>
      <c r="D51" s="145"/>
      <c r="E51" s="145"/>
      <c r="F51" s="145"/>
    </row>
    <row r="52" spans="1:6" x14ac:dyDescent="0.45">
      <c r="A52" s="145"/>
      <c r="B52" s="145"/>
      <c r="C52" s="145"/>
      <c r="D52" s="145"/>
      <c r="E52" s="145"/>
      <c r="F52" s="145"/>
    </row>
    <row r="53" spans="1:6" x14ac:dyDescent="0.45">
      <c r="A53" s="145"/>
      <c r="B53" s="145"/>
      <c r="C53" s="145"/>
      <c r="D53" s="145"/>
      <c r="E53" s="145"/>
      <c r="F53" s="145"/>
    </row>
    <row r="54" spans="1:6" x14ac:dyDescent="0.45">
      <c r="A54" s="145"/>
      <c r="B54" s="145"/>
      <c r="C54" s="145"/>
      <c r="D54" s="145"/>
      <c r="E54" s="145"/>
      <c r="F54" s="145"/>
    </row>
    <row r="55" spans="1:6" x14ac:dyDescent="0.45">
      <c r="A55" s="145"/>
      <c r="B55" s="145"/>
      <c r="C55" s="145"/>
      <c r="D55" s="145"/>
      <c r="E55" s="145"/>
      <c r="F55" s="145"/>
    </row>
    <row r="56" spans="1:6" x14ac:dyDescent="0.45">
      <c r="A56" s="145"/>
      <c r="B56" s="145"/>
      <c r="C56" s="145"/>
      <c r="D56" s="145"/>
      <c r="E56" s="145"/>
      <c r="F56" s="145"/>
    </row>
    <row r="57" spans="1:6" x14ac:dyDescent="0.45">
      <c r="A57" s="145"/>
      <c r="B57" s="145"/>
      <c r="C57" s="145"/>
      <c r="D57" s="145"/>
      <c r="E57" s="145"/>
      <c r="F57" s="145"/>
    </row>
    <row r="58" spans="1:6" x14ac:dyDescent="0.45">
      <c r="A58" s="145"/>
      <c r="B58" s="145"/>
      <c r="C58" s="145"/>
      <c r="D58" s="145"/>
      <c r="E58" s="145"/>
      <c r="F58" s="145"/>
    </row>
    <row r="59" spans="1:6" x14ac:dyDescent="0.45">
      <c r="A59" s="145"/>
      <c r="B59" s="145"/>
      <c r="C59" s="145"/>
      <c r="D59" s="145"/>
      <c r="E59" s="145"/>
      <c r="F59" s="145"/>
    </row>
    <row r="60" spans="1:6" x14ac:dyDescent="0.45">
      <c r="A60" s="145"/>
      <c r="B60" s="145"/>
      <c r="C60" s="145"/>
      <c r="D60" s="145"/>
      <c r="E60" s="145"/>
      <c r="F60" s="145"/>
    </row>
    <row r="61" spans="1:6" x14ac:dyDescent="0.45">
      <c r="A61" s="145"/>
      <c r="B61" s="145"/>
      <c r="C61" s="145"/>
      <c r="D61" s="145"/>
      <c r="E61" s="145"/>
      <c r="F61" s="145"/>
    </row>
    <row r="62" spans="1:6" x14ac:dyDescent="0.45">
      <c r="A62" s="145"/>
      <c r="B62" s="145"/>
      <c r="C62" s="145"/>
      <c r="D62" s="145"/>
      <c r="E62" s="145"/>
      <c r="F62" s="145"/>
    </row>
    <row r="63" spans="1:6" x14ac:dyDescent="0.45">
      <c r="A63" s="145"/>
      <c r="B63" s="145"/>
      <c r="C63" s="145"/>
      <c r="D63" s="145"/>
      <c r="E63" s="145"/>
      <c r="F63" s="145"/>
    </row>
    <row r="64" spans="1:6" x14ac:dyDescent="0.45">
      <c r="A64" s="145"/>
      <c r="B64" s="145"/>
      <c r="C64" s="145"/>
      <c r="D64" s="145"/>
      <c r="E64" s="145"/>
      <c r="F64" s="145"/>
    </row>
    <row r="65" spans="1:6" x14ac:dyDescent="0.45">
      <c r="A65" s="145"/>
      <c r="B65" s="145"/>
      <c r="C65" s="145"/>
      <c r="D65" s="145"/>
      <c r="E65" s="145"/>
      <c r="F65" s="145"/>
    </row>
    <row r="66" spans="1:6" x14ac:dyDescent="0.45">
      <c r="A66" s="145"/>
      <c r="B66" s="145"/>
      <c r="C66" s="145"/>
      <c r="D66" s="145"/>
      <c r="E66" s="145"/>
      <c r="F66" s="145"/>
    </row>
    <row r="67" spans="1:6" x14ac:dyDescent="0.45">
      <c r="A67" s="145"/>
      <c r="B67" s="145"/>
      <c r="C67" s="145"/>
      <c r="D67" s="145"/>
      <c r="E67" s="145"/>
      <c r="F67" s="145"/>
    </row>
    <row r="68" spans="1:6" x14ac:dyDescent="0.45">
      <c r="A68" s="145"/>
      <c r="B68" s="145"/>
      <c r="C68" s="145"/>
      <c r="D68" s="145"/>
      <c r="E68" s="145"/>
      <c r="F68" s="145"/>
    </row>
    <row r="69" spans="1:6" x14ac:dyDescent="0.45">
      <c r="A69" s="145"/>
      <c r="B69" s="145"/>
      <c r="C69" s="145"/>
      <c r="D69" s="145"/>
      <c r="E69" s="145"/>
      <c r="F69" s="145"/>
    </row>
    <row r="70" spans="1:6" x14ac:dyDescent="0.45">
      <c r="A70" s="145"/>
      <c r="B70" s="145"/>
      <c r="C70" s="145"/>
      <c r="D70" s="145"/>
      <c r="E70" s="145"/>
      <c r="F70" s="145"/>
    </row>
    <row r="71" spans="1:6" x14ac:dyDescent="0.45">
      <c r="A71" s="145"/>
      <c r="B71" s="145"/>
      <c r="C71" s="145"/>
      <c r="D71" s="145"/>
      <c r="E71" s="145"/>
      <c r="F71" s="145"/>
    </row>
    <row r="72" spans="1:6" x14ac:dyDescent="0.45">
      <c r="A72" s="145"/>
      <c r="B72" s="145"/>
      <c r="C72" s="145"/>
      <c r="D72" s="145"/>
      <c r="E72" s="145"/>
      <c r="F72" s="145"/>
    </row>
    <row r="73" spans="1:6" x14ac:dyDescent="0.45">
      <c r="A73" s="145"/>
      <c r="B73" s="145"/>
      <c r="C73" s="145"/>
      <c r="D73" s="145"/>
      <c r="E73" s="145"/>
      <c r="F73" s="145"/>
    </row>
    <row r="74" spans="1:6" x14ac:dyDescent="0.45">
      <c r="A74" s="145"/>
      <c r="B74" s="145"/>
      <c r="C74" s="145"/>
      <c r="D74" s="145"/>
      <c r="E74" s="145"/>
      <c r="F74" s="145"/>
    </row>
    <row r="75" spans="1:6" x14ac:dyDescent="0.45">
      <c r="A75" s="145"/>
      <c r="B75" s="145"/>
      <c r="C75" s="145"/>
      <c r="D75" s="145"/>
      <c r="E75" s="145"/>
      <c r="F75" s="145"/>
    </row>
    <row r="76" spans="1:6" x14ac:dyDescent="0.45">
      <c r="A76" s="145"/>
      <c r="B76" s="145"/>
      <c r="C76" s="145"/>
      <c r="D76" s="145"/>
      <c r="E76" s="145"/>
      <c r="F76" s="145"/>
    </row>
    <row r="77" spans="1:6" x14ac:dyDescent="0.45">
      <c r="A77" s="145"/>
      <c r="B77" s="145"/>
      <c r="C77" s="145"/>
      <c r="D77" s="145"/>
      <c r="E77" s="145"/>
      <c r="F77" s="145"/>
    </row>
    <row r="78" spans="1:6" x14ac:dyDescent="0.45">
      <c r="A78" s="145"/>
      <c r="B78" s="145"/>
      <c r="C78" s="145"/>
      <c r="D78" s="145"/>
      <c r="E78" s="145"/>
      <c r="F78" s="145"/>
    </row>
    <row r="79" spans="1:6" x14ac:dyDescent="0.45">
      <c r="A79" s="145"/>
      <c r="B79" s="145"/>
      <c r="C79" s="145"/>
      <c r="D79" s="145"/>
      <c r="E79" s="145"/>
      <c r="F79" s="145"/>
    </row>
    <row r="80" spans="1:6" x14ac:dyDescent="0.45">
      <c r="A80" s="145"/>
      <c r="B80" s="145"/>
      <c r="C80" s="145"/>
      <c r="D80" s="145"/>
      <c r="E80" s="145"/>
      <c r="F80" s="145"/>
    </row>
    <row r="81" spans="1:6" x14ac:dyDescent="0.45">
      <c r="A81" s="145"/>
      <c r="B81" s="145"/>
      <c r="C81" s="145"/>
      <c r="D81" s="145"/>
      <c r="E81" s="145"/>
      <c r="F81" s="145"/>
    </row>
    <row r="82" spans="1:6" x14ac:dyDescent="0.45">
      <c r="A82" s="145"/>
      <c r="B82" s="145"/>
      <c r="C82" s="145"/>
      <c r="D82" s="145"/>
      <c r="E82" s="145"/>
      <c r="F82" s="145"/>
    </row>
    <row r="83" spans="1:6" x14ac:dyDescent="0.45">
      <c r="A83" s="145"/>
      <c r="B83" s="145"/>
      <c r="C83" s="145"/>
      <c r="D83" s="145"/>
      <c r="E83" s="145"/>
      <c r="F83" s="145"/>
    </row>
    <row r="84" spans="1:6" x14ac:dyDescent="0.45">
      <c r="A84" s="145"/>
      <c r="B84" s="145"/>
      <c r="C84" s="145"/>
      <c r="D84" s="145"/>
      <c r="E84" s="145"/>
      <c r="F84" s="145"/>
    </row>
    <row r="85" spans="1:6" x14ac:dyDescent="0.45">
      <c r="A85" s="145"/>
      <c r="B85" s="145"/>
      <c r="C85" s="145"/>
      <c r="D85" s="145"/>
      <c r="E85" s="145"/>
      <c r="F85" s="145"/>
    </row>
    <row r="86" spans="1:6" x14ac:dyDescent="0.45">
      <c r="A86" s="145"/>
      <c r="B86" s="145"/>
      <c r="C86" s="145"/>
      <c r="D86" s="145"/>
      <c r="E86" s="145"/>
      <c r="F86" s="145"/>
    </row>
    <row r="87" spans="1:6" x14ac:dyDescent="0.45">
      <c r="A87" s="145"/>
      <c r="B87" s="145"/>
      <c r="C87" s="145"/>
      <c r="D87" s="145"/>
      <c r="E87" s="145"/>
      <c r="F87" s="145"/>
    </row>
    <row r="88" spans="1:6" x14ac:dyDescent="0.45">
      <c r="A88" s="145"/>
      <c r="B88" s="145"/>
      <c r="C88" s="145"/>
      <c r="D88" s="145"/>
      <c r="E88" s="145"/>
      <c r="F88" s="145"/>
    </row>
    <row r="89" spans="1:6" x14ac:dyDescent="0.45">
      <c r="A89" s="145"/>
      <c r="B89" s="145"/>
      <c r="C89" s="145"/>
      <c r="D89" s="145"/>
      <c r="E89" s="145"/>
      <c r="F89" s="145"/>
    </row>
    <row r="90" spans="1:6" x14ac:dyDescent="0.45">
      <c r="A90" s="145"/>
      <c r="B90" s="145"/>
      <c r="C90" s="145"/>
      <c r="D90" s="145"/>
      <c r="E90" s="145"/>
      <c r="F90" s="145"/>
    </row>
    <row r="91" spans="1:6" x14ac:dyDescent="0.45">
      <c r="A91" s="145"/>
      <c r="B91" s="145"/>
      <c r="C91" s="145"/>
      <c r="D91" s="145"/>
      <c r="E91" s="145"/>
      <c r="F91" s="145"/>
    </row>
    <row r="92" spans="1:6" x14ac:dyDescent="0.45">
      <c r="A92" s="145"/>
      <c r="B92" s="145"/>
      <c r="C92" s="145"/>
      <c r="D92" s="145"/>
      <c r="E92" s="145"/>
      <c r="F92" s="145"/>
    </row>
    <row r="93" spans="1:6" x14ac:dyDescent="0.45">
      <c r="A93" s="145"/>
      <c r="B93" s="145"/>
      <c r="C93" s="145"/>
      <c r="D93" s="145"/>
      <c r="E93" s="145"/>
      <c r="F93" s="145"/>
    </row>
    <row r="94" spans="1:6" x14ac:dyDescent="0.45">
      <c r="A94" s="145"/>
      <c r="B94" s="145"/>
      <c r="C94" s="145"/>
      <c r="D94" s="145"/>
      <c r="E94" s="145"/>
      <c r="F94" s="145"/>
    </row>
    <row r="95" spans="1:6" x14ac:dyDescent="0.45">
      <c r="A95" s="145"/>
      <c r="B95" s="145"/>
      <c r="C95" s="145"/>
      <c r="D95" s="145"/>
      <c r="E95" s="145"/>
      <c r="F95" s="145"/>
    </row>
    <row r="96" spans="1:6" x14ac:dyDescent="0.45">
      <c r="A96" s="145"/>
      <c r="B96" s="145"/>
      <c r="C96" s="145"/>
      <c r="D96" s="145"/>
      <c r="E96" s="145"/>
      <c r="F96" s="145"/>
    </row>
    <row r="97" spans="1:6" x14ac:dyDescent="0.45">
      <c r="A97" s="145"/>
      <c r="B97" s="145"/>
      <c r="C97" s="145"/>
      <c r="D97" s="145"/>
      <c r="E97" s="145"/>
      <c r="F97" s="145"/>
    </row>
    <row r="98" spans="1:6" x14ac:dyDescent="0.45">
      <c r="A98" s="145"/>
      <c r="B98" s="145"/>
      <c r="C98" s="145"/>
      <c r="D98" s="145"/>
      <c r="E98" s="145"/>
      <c r="F98" s="145"/>
    </row>
    <row r="99" spans="1:6" x14ac:dyDescent="0.45">
      <c r="A99" s="145"/>
      <c r="B99" s="145"/>
      <c r="C99" s="145"/>
      <c r="D99" s="145"/>
      <c r="E99" s="145"/>
      <c r="F99" s="145"/>
    </row>
    <row r="100" spans="1:6" x14ac:dyDescent="0.45">
      <c r="A100" s="145"/>
      <c r="B100" s="145"/>
      <c r="C100" s="145"/>
      <c r="D100" s="145"/>
      <c r="E100" s="145"/>
      <c r="F100" s="145"/>
    </row>
    <row r="101" spans="1:6" x14ac:dyDescent="0.45">
      <c r="A101" s="145"/>
      <c r="B101" s="145"/>
      <c r="C101" s="145"/>
      <c r="D101" s="145"/>
      <c r="E101" s="145"/>
      <c r="F101" s="145"/>
    </row>
    <row r="102" spans="1:6" x14ac:dyDescent="0.45">
      <c r="A102" s="145"/>
      <c r="B102" s="145"/>
      <c r="C102" s="145"/>
      <c r="D102" s="145"/>
      <c r="E102" s="145"/>
      <c r="F102" s="145"/>
    </row>
    <row r="103" spans="1:6" x14ac:dyDescent="0.45">
      <c r="A103" s="145"/>
      <c r="B103" s="145"/>
      <c r="C103" s="145"/>
      <c r="D103" s="145"/>
      <c r="E103" s="145"/>
      <c r="F103" s="145"/>
    </row>
    <row r="104" spans="1:6" x14ac:dyDescent="0.45">
      <c r="A104" s="145"/>
      <c r="B104" s="145"/>
      <c r="C104" s="145"/>
      <c r="D104" s="145"/>
      <c r="E104" s="145"/>
      <c r="F104" s="145"/>
    </row>
    <row r="105" spans="1:6" x14ac:dyDescent="0.45">
      <c r="A105" s="145"/>
      <c r="B105" s="145"/>
      <c r="C105" s="145"/>
      <c r="D105" s="145"/>
      <c r="E105" s="145"/>
      <c r="F105" s="145"/>
    </row>
    <row r="106" spans="1:6" x14ac:dyDescent="0.45">
      <c r="A106" s="145"/>
      <c r="B106" s="145"/>
      <c r="C106" s="145"/>
      <c r="D106" s="145"/>
      <c r="E106" s="145"/>
      <c r="F106" s="145"/>
    </row>
    <row r="107" spans="1:6" x14ac:dyDescent="0.45">
      <c r="A107" s="145"/>
      <c r="B107" s="145"/>
      <c r="C107" s="145"/>
      <c r="D107" s="145"/>
      <c r="E107" s="145"/>
      <c r="F107" s="145"/>
    </row>
    <row r="108" spans="1:6" x14ac:dyDescent="0.45">
      <c r="A108" s="145"/>
      <c r="B108" s="145"/>
      <c r="C108" s="145"/>
      <c r="D108" s="145"/>
      <c r="E108" s="145"/>
      <c r="F108" s="145"/>
    </row>
    <row r="109" spans="1:6" x14ac:dyDescent="0.45">
      <c r="A109" s="145"/>
      <c r="B109" s="145"/>
      <c r="C109" s="145"/>
      <c r="D109" s="145"/>
      <c r="E109" s="145"/>
      <c r="F109" s="145"/>
    </row>
    <row r="110" spans="1:6" x14ac:dyDescent="0.45">
      <c r="A110" s="145"/>
      <c r="B110" s="145"/>
      <c r="C110" s="145"/>
      <c r="D110" s="145"/>
      <c r="E110" s="145"/>
      <c r="F110" s="145"/>
    </row>
    <row r="111" spans="1:6" x14ac:dyDescent="0.45">
      <c r="A111" s="145"/>
      <c r="B111" s="145"/>
      <c r="C111" s="145"/>
      <c r="D111" s="145"/>
      <c r="E111" s="145"/>
      <c r="F111" s="145"/>
    </row>
    <row r="112" spans="1:6" x14ac:dyDescent="0.45">
      <c r="A112" s="145"/>
      <c r="B112" s="145"/>
      <c r="C112" s="145"/>
      <c r="D112" s="145"/>
      <c r="E112" s="145"/>
      <c r="F112" s="145"/>
    </row>
    <row r="113" spans="1:6" x14ac:dyDescent="0.45">
      <c r="A113" s="145"/>
      <c r="B113" s="145"/>
      <c r="C113" s="145"/>
      <c r="D113" s="145"/>
      <c r="E113" s="145"/>
      <c r="F113" s="145"/>
    </row>
    <row r="114" spans="1:6" x14ac:dyDescent="0.45">
      <c r="A114" s="145"/>
      <c r="B114" s="145"/>
      <c r="C114" s="145"/>
      <c r="D114" s="145"/>
      <c r="E114" s="145"/>
      <c r="F114" s="145"/>
    </row>
    <row r="115" spans="1:6" x14ac:dyDescent="0.45">
      <c r="A115" s="145"/>
      <c r="B115" s="145"/>
      <c r="C115" s="145"/>
      <c r="D115" s="145"/>
      <c r="E115" s="145"/>
      <c r="F115" s="145"/>
    </row>
    <row r="116" spans="1:6" x14ac:dyDescent="0.45">
      <c r="A116" s="145"/>
      <c r="B116" s="145"/>
      <c r="C116" s="145"/>
      <c r="D116" s="145"/>
      <c r="E116" s="145"/>
      <c r="F116" s="145"/>
    </row>
    <row r="117" spans="1:6" x14ac:dyDescent="0.45">
      <c r="A117" s="145"/>
      <c r="B117" s="145"/>
      <c r="C117" s="145"/>
      <c r="D117" s="145"/>
      <c r="E117" s="145"/>
      <c r="F117" s="145"/>
    </row>
    <row r="118" spans="1:6" x14ac:dyDescent="0.45">
      <c r="A118" s="145"/>
      <c r="B118" s="145"/>
      <c r="C118" s="145"/>
      <c r="D118" s="145"/>
      <c r="E118" s="145"/>
      <c r="F118" s="145"/>
    </row>
    <row r="119" spans="1:6" x14ac:dyDescent="0.45">
      <c r="A119" s="145"/>
      <c r="B119" s="145"/>
      <c r="C119" s="145"/>
      <c r="D119" s="145"/>
      <c r="E119" s="145"/>
      <c r="F119" s="145"/>
    </row>
    <row r="120" spans="1:6" x14ac:dyDescent="0.45">
      <c r="A120" s="145"/>
      <c r="B120" s="145"/>
      <c r="C120" s="145"/>
      <c r="D120" s="145"/>
      <c r="E120" s="145"/>
      <c r="F120" s="145"/>
    </row>
    <row r="121" spans="1:6" x14ac:dyDescent="0.45">
      <c r="A121" s="145"/>
      <c r="B121" s="145"/>
      <c r="C121" s="145"/>
      <c r="D121" s="145"/>
      <c r="E121" s="145"/>
      <c r="F121" s="145"/>
    </row>
    <row r="122" spans="1:6" x14ac:dyDescent="0.45">
      <c r="A122" s="145"/>
      <c r="B122" s="145"/>
      <c r="C122" s="145"/>
      <c r="D122" s="145"/>
      <c r="E122" s="145"/>
      <c r="F122" s="145"/>
    </row>
    <row r="123" spans="1:6" x14ac:dyDescent="0.45">
      <c r="A123" s="145"/>
      <c r="B123" s="145"/>
      <c r="C123" s="145"/>
      <c r="D123" s="145"/>
      <c r="E123" s="145"/>
      <c r="F123" s="145"/>
    </row>
    <row r="124" spans="1:6" x14ac:dyDescent="0.45">
      <c r="A124" s="145"/>
      <c r="B124" s="145"/>
      <c r="C124" s="145"/>
      <c r="D124" s="145"/>
      <c r="E124" s="145"/>
      <c r="F124" s="145"/>
    </row>
    <row r="125" spans="1:6" x14ac:dyDescent="0.45">
      <c r="A125" s="145"/>
      <c r="B125" s="145"/>
      <c r="C125" s="145"/>
      <c r="D125" s="145"/>
      <c r="E125" s="145"/>
      <c r="F125" s="145"/>
    </row>
    <row r="126" spans="1:6" x14ac:dyDescent="0.45">
      <c r="A126" s="145"/>
      <c r="B126" s="145"/>
      <c r="C126" s="145"/>
      <c r="D126" s="145"/>
      <c r="E126" s="145"/>
      <c r="F126" s="145"/>
    </row>
    <row r="127" spans="1:6" x14ac:dyDescent="0.45">
      <c r="A127" s="145"/>
      <c r="B127" s="145"/>
      <c r="C127" s="145"/>
      <c r="D127" s="145"/>
      <c r="E127" s="145"/>
      <c r="F127" s="145"/>
    </row>
    <row r="128" spans="1:6" x14ac:dyDescent="0.45">
      <c r="A128" s="145"/>
      <c r="B128" s="145"/>
      <c r="C128" s="145"/>
      <c r="D128" s="145"/>
      <c r="E128" s="145"/>
      <c r="F128" s="145"/>
    </row>
    <row r="129" spans="1:6" x14ac:dyDescent="0.45">
      <c r="A129" s="145"/>
      <c r="B129" s="145"/>
      <c r="C129" s="145"/>
      <c r="D129" s="145"/>
      <c r="E129" s="145"/>
      <c r="F129" s="145"/>
    </row>
    <row r="130" spans="1:6" x14ac:dyDescent="0.45">
      <c r="A130" s="145"/>
      <c r="B130" s="145"/>
      <c r="C130" s="145"/>
      <c r="D130" s="145"/>
      <c r="E130" s="145"/>
      <c r="F130" s="145"/>
    </row>
    <row r="131" spans="1:6" x14ac:dyDescent="0.45">
      <c r="A131" s="145"/>
      <c r="B131" s="145"/>
      <c r="C131" s="145"/>
      <c r="D131" s="145"/>
      <c r="E131" s="145"/>
      <c r="F131" s="145"/>
    </row>
    <row r="132" spans="1:6" x14ac:dyDescent="0.45">
      <c r="A132" s="145"/>
      <c r="B132" s="145"/>
      <c r="C132" s="145"/>
      <c r="D132" s="145"/>
      <c r="E132" s="145"/>
      <c r="F132" s="145"/>
    </row>
    <row r="133" spans="1:6" x14ac:dyDescent="0.45">
      <c r="A133" s="145"/>
      <c r="B133" s="145"/>
      <c r="C133" s="145"/>
      <c r="D133" s="145"/>
      <c r="E133" s="145"/>
      <c r="F133" s="145"/>
    </row>
    <row r="134" spans="1:6" x14ac:dyDescent="0.45">
      <c r="A134" s="145"/>
      <c r="B134" s="145"/>
      <c r="C134" s="145"/>
      <c r="D134" s="145"/>
      <c r="E134" s="145"/>
      <c r="F134" s="145"/>
    </row>
    <row r="135" spans="1:6" x14ac:dyDescent="0.45">
      <c r="A135" s="145"/>
      <c r="B135" s="145"/>
      <c r="C135" s="145"/>
      <c r="D135" s="145"/>
      <c r="E135" s="145"/>
      <c r="F135" s="145"/>
    </row>
    <row r="136" spans="1:6" x14ac:dyDescent="0.45">
      <c r="A136" s="145"/>
      <c r="B136" s="145"/>
      <c r="C136" s="145"/>
      <c r="D136" s="145"/>
      <c r="E136" s="145"/>
      <c r="F136" s="145"/>
    </row>
    <row r="137" spans="1:6" x14ac:dyDescent="0.45">
      <c r="A137" s="145"/>
      <c r="B137" s="145"/>
      <c r="C137" s="145"/>
      <c r="D137" s="145"/>
      <c r="E137" s="145"/>
      <c r="F137" s="145"/>
    </row>
    <row r="138" spans="1:6" x14ac:dyDescent="0.45">
      <c r="A138" s="145"/>
      <c r="B138" s="145"/>
      <c r="C138" s="145"/>
      <c r="D138" s="145"/>
      <c r="E138" s="145"/>
      <c r="F138" s="145"/>
    </row>
    <row r="139" spans="1:6" x14ac:dyDescent="0.45">
      <c r="A139" s="145"/>
      <c r="B139" s="145"/>
      <c r="C139" s="145"/>
      <c r="D139" s="145"/>
      <c r="E139" s="145"/>
      <c r="F139" s="145"/>
    </row>
    <row r="140" spans="1:6" x14ac:dyDescent="0.45">
      <c r="A140" s="145"/>
      <c r="B140" s="145"/>
      <c r="C140" s="145"/>
      <c r="D140" s="145"/>
      <c r="E140" s="145"/>
      <c r="F140" s="145"/>
    </row>
    <row r="141" spans="1:6" x14ac:dyDescent="0.45">
      <c r="A141" s="145"/>
      <c r="B141" s="145"/>
      <c r="C141" s="145"/>
      <c r="D141" s="145"/>
      <c r="E141" s="145"/>
      <c r="F141" s="145"/>
    </row>
    <row r="142" spans="1:6" x14ac:dyDescent="0.45">
      <c r="A142" s="145"/>
      <c r="B142" s="145"/>
      <c r="C142" s="145"/>
      <c r="D142" s="145"/>
      <c r="E142" s="145"/>
      <c r="F142" s="145"/>
    </row>
    <row r="143" spans="1:6" x14ac:dyDescent="0.45">
      <c r="A143" s="145"/>
      <c r="B143" s="145"/>
      <c r="C143" s="145"/>
      <c r="D143" s="145"/>
      <c r="E143" s="145"/>
      <c r="F143" s="145"/>
    </row>
    <row r="144" spans="1:6" x14ac:dyDescent="0.45">
      <c r="A144" s="145"/>
      <c r="B144" s="145"/>
      <c r="C144" s="145"/>
      <c r="D144" s="145"/>
      <c r="E144" s="145"/>
      <c r="F144" s="145"/>
    </row>
    <row r="145" spans="1:6" x14ac:dyDescent="0.45">
      <c r="A145" s="145"/>
      <c r="B145" s="145"/>
      <c r="C145" s="145"/>
      <c r="D145" s="145"/>
      <c r="E145" s="145"/>
      <c r="F145" s="145"/>
    </row>
    <row r="146" spans="1:6" x14ac:dyDescent="0.45">
      <c r="A146" s="145"/>
      <c r="B146" s="145"/>
      <c r="C146" s="145"/>
      <c r="D146" s="145"/>
      <c r="E146" s="145"/>
      <c r="F146" s="145"/>
    </row>
    <row r="147" spans="1:6" x14ac:dyDescent="0.45">
      <c r="A147" s="145"/>
      <c r="B147" s="145"/>
      <c r="C147" s="145"/>
      <c r="D147" s="145"/>
      <c r="E147" s="145"/>
      <c r="F147" s="145"/>
    </row>
    <row r="148" spans="1:6" x14ac:dyDescent="0.45">
      <c r="A148" s="145"/>
      <c r="B148" s="145"/>
      <c r="C148" s="145"/>
      <c r="D148" s="145"/>
      <c r="E148" s="145"/>
      <c r="F148" s="145"/>
    </row>
    <row r="149" spans="1:6" x14ac:dyDescent="0.45">
      <c r="A149" s="145"/>
      <c r="B149" s="145"/>
      <c r="C149" s="145"/>
      <c r="D149" s="145"/>
      <c r="E149" s="145"/>
      <c r="F149" s="145"/>
    </row>
    <row r="150" spans="1:6" x14ac:dyDescent="0.45">
      <c r="A150" s="145"/>
      <c r="B150" s="145"/>
      <c r="C150" s="145"/>
      <c r="D150" s="145"/>
      <c r="E150" s="145"/>
      <c r="F150" s="145"/>
    </row>
    <row r="151" spans="1:6" x14ac:dyDescent="0.45">
      <c r="A151" s="145"/>
      <c r="B151" s="145"/>
      <c r="C151" s="145"/>
      <c r="D151" s="145"/>
      <c r="E151" s="145"/>
      <c r="F151" s="145"/>
    </row>
    <row r="152" spans="1:6" x14ac:dyDescent="0.45">
      <c r="A152" s="145"/>
      <c r="B152" s="145"/>
      <c r="C152" s="145"/>
      <c r="D152" s="145"/>
      <c r="E152" s="145"/>
      <c r="F152" s="145"/>
    </row>
    <row r="153" spans="1:6" x14ac:dyDescent="0.45">
      <c r="A153" s="145"/>
      <c r="B153" s="145"/>
      <c r="C153" s="145"/>
      <c r="D153" s="145"/>
      <c r="E153" s="145"/>
      <c r="F153" s="145"/>
    </row>
    <row r="154" spans="1:6" x14ac:dyDescent="0.45">
      <c r="A154" s="145"/>
      <c r="B154" s="145"/>
      <c r="C154" s="145"/>
      <c r="D154" s="145"/>
      <c r="E154" s="145"/>
      <c r="F154" s="145"/>
    </row>
    <row r="155" spans="1:6" x14ac:dyDescent="0.45">
      <c r="A155" s="145"/>
      <c r="B155" s="145"/>
      <c r="C155" s="145"/>
      <c r="D155" s="145"/>
      <c r="E155" s="145"/>
      <c r="F155" s="145"/>
    </row>
    <row r="156" spans="1:6" x14ac:dyDescent="0.45">
      <c r="A156" s="145"/>
      <c r="B156" s="145"/>
      <c r="C156" s="145"/>
      <c r="D156" s="145"/>
      <c r="E156" s="145"/>
      <c r="F156" s="145"/>
    </row>
    <row r="157" spans="1:6" x14ac:dyDescent="0.45">
      <c r="A157" s="145"/>
      <c r="B157" s="145"/>
      <c r="C157" s="145"/>
      <c r="D157" s="145"/>
      <c r="E157" s="145"/>
      <c r="F157" s="145"/>
    </row>
    <row r="158" spans="1:6" x14ac:dyDescent="0.45">
      <c r="A158" s="145"/>
      <c r="B158" s="145"/>
      <c r="C158" s="145"/>
      <c r="D158" s="145"/>
      <c r="E158" s="145"/>
      <c r="F158" s="145"/>
    </row>
    <row r="159" spans="1:6" x14ac:dyDescent="0.45">
      <c r="A159" s="145"/>
      <c r="B159" s="145"/>
      <c r="C159" s="145"/>
      <c r="D159" s="145"/>
      <c r="E159" s="145"/>
      <c r="F159" s="145"/>
    </row>
    <row r="160" spans="1:6" x14ac:dyDescent="0.45">
      <c r="A160" s="145"/>
      <c r="B160" s="145"/>
      <c r="C160" s="145"/>
      <c r="D160" s="145"/>
      <c r="E160" s="145"/>
      <c r="F160" s="145"/>
    </row>
    <row r="161" spans="1:6" x14ac:dyDescent="0.45">
      <c r="A161" s="145"/>
      <c r="B161" s="145"/>
      <c r="C161" s="145"/>
      <c r="D161" s="145"/>
      <c r="E161" s="145"/>
      <c r="F161" s="145"/>
    </row>
    <row r="162" spans="1:6" x14ac:dyDescent="0.45">
      <c r="A162" s="145"/>
      <c r="B162" s="145"/>
      <c r="C162" s="145"/>
      <c r="D162" s="145"/>
      <c r="E162" s="145"/>
      <c r="F162" s="145"/>
    </row>
    <row r="163" spans="1:6" x14ac:dyDescent="0.45">
      <c r="A163" s="145"/>
      <c r="B163" s="145"/>
      <c r="C163" s="145"/>
      <c r="D163" s="145"/>
      <c r="E163" s="145"/>
      <c r="F163" s="145"/>
    </row>
    <row r="164" spans="1:6" x14ac:dyDescent="0.45">
      <c r="A164" s="145"/>
      <c r="B164" s="145"/>
      <c r="C164" s="145"/>
      <c r="D164" s="145"/>
      <c r="E164" s="145"/>
      <c r="F164" s="145"/>
    </row>
    <row r="165" spans="1:6" x14ac:dyDescent="0.45">
      <c r="A165" s="145"/>
      <c r="B165" s="145"/>
      <c r="C165" s="145"/>
      <c r="D165" s="145"/>
      <c r="E165" s="145"/>
      <c r="F165" s="145"/>
    </row>
    <row r="166" spans="1:6" x14ac:dyDescent="0.45">
      <c r="A166" s="145"/>
      <c r="B166" s="145"/>
      <c r="C166" s="145"/>
      <c r="D166" s="145"/>
      <c r="E166" s="145"/>
      <c r="F166" s="145"/>
    </row>
    <row r="167" spans="1:6" x14ac:dyDescent="0.45">
      <c r="A167" s="145"/>
      <c r="B167" s="145"/>
      <c r="C167" s="145"/>
      <c r="D167" s="145"/>
      <c r="E167" s="145"/>
      <c r="F167" s="145"/>
    </row>
    <row r="168" spans="1:6" x14ac:dyDescent="0.45">
      <c r="A168" s="145"/>
      <c r="B168" s="145"/>
      <c r="C168" s="145"/>
      <c r="D168" s="145"/>
      <c r="E168" s="145"/>
      <c r="F168" s="145"/>
    </row>
    <row r="169" spans="1:6" x14ac:dyDescent="0.45">
      <c r="A169" s="145"/>
      <c r="B169" s="145"/>
      <c r="C169" s="145"/>
      <c r="D169" s="145"/>
      <c r="E169" s="145"/>
      <c r="F169" s="145"/>
    </row>
    <row r="170" spans="1:6" x14ac:dyDescent="0.45">
      <c r="A170" s="145"/>
      <c r="B170" s="145"/>
      <c r="C170" s="145"/>
      <c r="D170" s="145"/>
      <c r="E170" s="145"/>
      <c r="F170" s="145"/>
    </row>
    <row r="171" spans="1:6" x14ac:dyDescent="0.45">
      <c r="A171" s="145"/>
      <c r="B171" s="145"/>
      <c r="C171" s="145"/>
      <c r="D171" s="145"/>
      <c r="E171" s="145"/>
      <c r="F171" s="145"/>
    </row>
    <row r="172" spans="1:6" x14ac:dyDescent="0.45">
      <c r="A172" s="145"/>
      <c r="B172" s="145"/>
      <c r="C172" s="145"/>
      <c r="D172" s="145"/>
      <c r="E172" s="145"/>
      <c r="F172" s="145"/>
    </row>
    <row r="173" spans="1:6" x14ac:dyDescent="0.45">
      <c r="A173" s="145"/>
      <c r="B173" s="145"/>
      <c r="C173" s="145"/>
      <c r="D173" s="145"/>
      <c r="E173" s="145"/>
      <c r="F173" s="145"/>
    </row>
    <row r="174" spans="1:6" x14ac:dyDescent="0.45">
      <c r="A174" s="145"/>
      <c r="B174" s="145"/>
      <c r="C174" s="145"/>
      <c r="D174" s="145"/>
      <c r="E174" s="145"/>
      <c r="F174" s="145"/>
    </row>
    <row r="175" spans="1:6" x14ac:dyDescent="0.45">
      <c r="A175" s="145"/>
      <c r="B175" s="145"/>
      <c r="C175" s="145"/>
      <c r="D175" s="145"/>
      <c r="E175" s="145"/>
      <c r="F175" s="145"/>
    </row>
    <row r="176" spans="1:6" x14ac:dyDescent="0.45">
      <c r="A176" s="145"/>
      <c r="B176" s="145"/>
      <c r="C176" s="145"/>
      <c r="D176" s="145"/>
      <c r="E176" s="145"/>
      <c r="F176" s="145"/>
    </row>
    <row r="177" spans="1:6" x14ac:dyDescent="0.45">
      <c r="A177" s="145"/>
      <c r="B177" s="145"/>
      <c r="C177" s="145"/>
      <c r="D177" s="145"/>
      <c r="E177" s="145"/>
      <c r="F177" s="145"/>
    </row>
    <row r="178" spans="1:6" x14ac:dyDescent="0.45">
      <c r="A178" s="145"/>
      <c r="B178" s="145"/>
      <c r="C178" s="145"/>
      <c r="D178" s="145"/>
      <c r="E178" s="145"/>
      <c r="F178" s="145"/>
    </row>
    <row r="179" spans="1:6" x14ac:dyDescent="0.45">
      <c r="A179" s="145"/>
      <c r="B179" s="145"/>
      <c r="C179" s="145"/>
      <c r="D179" s="145"/>
      <c r="E179" s="145"/>
      <c r="F179" s="145"/>
    </row>
    <row r="180" spans="1:6" x14ac:dyDescent="0.45">
      <c r="A180" s="145"/>
      <c r="B180" s="145"/>
      <c r="C180" s="145"/>
      <c r="D180" s="145"/>
      <c r="E180" s="145"/>
      <c r="F180" s="145"/>
    </row>
    <row r="181" spans="1:6" x14ac:dyDescent="0.45">
      <c r="A181" s="145"/>
      <c r="B181" s="145"/>
      <c r="C181" s="145"/>
      <c r="D181" s="145"/>
      <c r="E181" s="145"/>
      <c r="F181" s="145"/>
    </row>
    <row r="182" spans="1:6" x14ac:dyDescent="0.45">
      <c r="A182" s="145"/>
      <c r="B182" s="145"/>
      <c r="C182" s="145"/>
      <c r="D182" s="145"/>
      <c r="E182" s="145"/>
      <c r="F182" s="145"/>
    </row>
    <row r="183" spans="1:6" x14ac:dyDescent="0.45">
      <c r="A183" s="145"/>
      <c r="B183" s="145"/>
      <c r="C183" s="145"/>
      <c r="D183" s="145"/>
      <c r="E183" s="145"/>
      <c r="F183" s="145"/>
    </row>
    <row r="184" spans="1:6" x14ac:dyDescent="0.45">
      <c r="A184" s="145"/>
      <c r="B184" s="145"/>
      <c r="C184" s="145"/>
      <c r="D184" s="145"/>
      <c r="E184" s="145"/>
      <c r="F184" s="145"/>
    </row>
    <row r="185" spans="1:6" x14ac:dyDescent="0.45">
      <c r="A185" s="145"/>
      <c r="B185" s="145"/>
      <c r="C185" s="145"/>
      <c r="D185" s="145"/>
      <c r="E185" s="145"/>
      <c r="F185" s="145"/>
    </row>
    <row r="186" spans="1:6" x14ac:dyDescent="0.45">
      <c r="A186" s="145"/>
      <c r="B186" s="145"/>
      <c r="C186" s="145"/>
      <c r="D186" s="145"/>
      <c r="E186" s="145"/>
      <c r="F186" s="145"/>
    </row>
    <row r="187" spans="1:6" x14ac:dyDescent="0.45">
      <c r="A187" s="145"/>
      <c r="B187" s="145"/>
      <c r="C187" s="145"/>
      <c r="D187" s="145"/>
      <c r="E187" s="145"/>
      <c r="F187" s="145"/>
    </row>
    <row r="188" spans="1:6" x14ac:dyDescent="0.45">
      <c r="A188" s="145"/>
      <c r="B188" s="145"/>
      <c r="C188" s="145"/>
      <c r="D188" s="145"/>
      <c r="E188" s="145"/>
      <c r="F188" s="145"/>
    </row>
    <row r="189" spans="1:6" x14ac:dyDescent="0.45">
      <c r="A189" s="145"/>
      <c r="B189" s="145"/>
      <c r="C189" s="145"/>
      <c r="D189" s="145"/>
      <c r="E189" s="145"/>
      <c r="F189" s="145"/>
    </row>
    <row r="190" spans="1:6" x14ac:dyDescent="0.45">
      <c r="A190" s="145"/>
      <c r="B190" s="145"/>
      <c r="C190" s="145"/>
      <c r="D190" s="145"/>
      <c r="E190" s="145"/>
      <c r="F190" s="145"/>
    </row>
    <row r="191" spans="1:6" x14ac:dyDescent="0.45">
      <c r="A191" s="145"/>
      <c r="B191" s="145"/>
      <c r="C191" s="145"/>
      <c r="D191" s="145"/>
      <c r="E191" s="145"/>
      <c r="F191" s="145"/>
    </row>
    <row r="192" spans="1:6" x14ac:dyDescent="0.45">
      <c r="A192" s="145"/>
      <c r="B192" s="145"/>
      <c r="C192" s="145"/>
      <c r="D192" s="145"/>
      <c r="E192" s="145"/>
      <c r="F192" s="145"/>
    </row>
    <row r="193" spans="1:6" x14ac:dyDescent="0.45">
      <c r="A193" s="145"/>
      <c r="B193" s="145"/>
      <c r="C193" s="145"/>
      <c r="D193" s="145"/>
      <c r="E193" s="145"/>
      <c r="F193" s="145"/>
    </row>
    <row r="194" spans="1:6" x14ac:dyDescent="0.45">
      <c r="A194" s="145"/>
      <c r="B194" s="145"/>
      <c r="C194" s="145"/>
      <c r="D194" s="145"/>
      <c r="E194" s="145"/>
      <c r="F194" s="145"/>
    </row>
    <row r="195" spans="1:6" x14ac:dyDescent="0.45">
      <c r="A195" s="145"/>
      <c r="B195" s="145"/>
      <c r="C195" s="145"/>
      <c r="D195" s="145"/>
      <c r="E195" s="145"/>
      <c r="F195" s="145"/>
    </row>
    <row r="196" spans="1:6" x14ac:dyDescent="0.45">
      <c r="A196" s="145"/>
      <c r="B196" s="145"/>
      <c r="C196" s="145"/>
      <c r="D196" s="145"/>
      <c r="E196" s="145"/>
      <c r="F196" s="145"/>
    </row>
    <row r="197" spans="1:6" x14ac:dyDescent="0.45">
      <c r="A197" s="145"/>
      <c r="B197" s="145"/>
      <c r="C197" s="145"/>
      <c r="D197" s="145"/>
      <c r="E197" s="145"/>
      <c r="F197" s="145"/>
    </row>
    <row r="198" spans="1:6" x14ac:dyDescent="0.45">
      <c r="A198" s="145"/>
      <c r="B198" s="145"/>
      <c r="C198" s="145"/>
      <c r="D198" s="145"/>
      <c r="E198" s="145"/>
      <c r="F198" s="145"/>
    </row>
    <row r="199" spans="1:6" x14ac:dyDescent="0.45">
      <c r="A199" s="145"/>
      <c r="B199" s="145"/>
      <c r="C199" s="145"/>
      <c r="D199" s="145"/>
      <c r="E199" s="145"/>
      <c r="F199" s="145"/>
    </row>
    <row r="200" spans="1:6" x14ac:dyDescent="0.45">
      <c r="A200" s="145"/>
      <c r="B200" s="145"/>
      <c r="C200" s="145"/>
      <c r="D200" s="145"/>
      <c r="E200" s="145"/>
      <c r="F200" s="145"/>
    </row>
    <row r="201" spans="1:6" x14ac:dyDescent="0.45">
      <c r="A201" s="145"/>
      <c r="B201" s="145"/>
      <c r="C201" s="145"/>
      <c r="D201" s="145"/>
      <c r="E201" s="145"/>
      <c r="F201" s="145"/>
    </row>
    <row r="202" spans="1:6" x14ac:dyDescent="0.45">
      <c r="A202" s="145"/>
      <c r="B202" s="145"/>
      <c r="C202" s="145"/>
      <c r="D202" s="145"/>
      <c r="E202" s="145"/>
      <c r="F202" s="145"/>
    </row>
    <row r="203" spans="1:6" x14ac:dyDescent="0.45">
      <c r="A203" s="145"/>
      <c r="B203" s="145"/>
      <c r="C203" s="145"/>
      <c r="D203" s="145"/>
      <c r="E203" s="145"/>
      <c r="F203" s="145"/>
    </row>
    <row r="204" spans="1:6" x14ac:dyDescent="0.45">
      <c r="A204" s="145"/>
      <c r="B204" s="145"/>
      <c r="C204" s="145"/>
      <c r="D204" s="145"/>
      <c r="E204" s="145"/>
      <c r="F204" s="145"/>
    </row>
    <row r="205" spans="1:6" x14ac:dyDescent="0.45">
      <c r="A205" s="145"/>
      <c r="B205" s="145"/>
      <c r="C205" s="145"/>
      <c r="D205" s="145"/>
      <c r="E205" s="145"/>
      <c r="F205" s="145"/>
    </row>
    <row r="206" spans="1:6" x14ac:dyDescent="0.45">
      <c r="A206" s="145"/>
      <c r="B206" s="145"/>
      <c r="C206" s="145"/>
      <c r="D206" s="145"/>
      <c r="E206" s="145"/>
      <c r="F206" s="145"/>
    </row>
    <row r="207" spans="1:6" x14ac:dyDescent="0.45">
      <c r="A207" s="145"/>
      <c r="B207" s="145"/>
      <c r="C207" s="145"/>
      <c r="D207" s="145"/>
      <c r="E207" s="145"/>
      <c r="F207" s="145"/>
    </row>
    <row r="208" spans="1:6" x14ac:dyDescent="0.45">
      <c r="A208" s="145"/>
      <c r="B208" s="145"/>
      <c r="C208" s="145"/>
      <c r="D208" s="145"/>
      <c r="E208" s="145"/>
      <c r="F208" s="145"/>
    </row>
    <row r="209" spans="1:6" x14ac:dyDescent="0.45">
      <c r="A209" s="145"/>
      <c r="B209" s="145"/>
      <c r="C209" s="145"/>
      <c r="D209" s="145"/>
      <c r="E209" s="145"/>
      <c r="F209" s="145"/>
    </row>
    <row r="210" spans="1:6" x14ac:dyDescent="0.45">
      <c r="A210" s="145"/>
      <c r="B210" s="145"/>
      <c r="C210" s="145"/>
      <c r="D210" s="145"/>
      <c r="E210" s="145"/>
      <c r="F210" s="145"/>
    </row>
    <row r="211" spans="1:6" x14ac:dyDescent="0.45">
      <c r="A211" s="145"/>
      <c r="B211" s="145"/>
      <c r="C211" s="145"/>
      <c r="D211" s="145"/>
      <c r="E211" s="145"/>
      <c r="F211" s="145"/>
    </row>
    <row r="212" spans="1:6" x14ac:dyDescent="0.45">
      <c r="A212" s="145"/>
      <c r="B212" s="145"/>
      <c r="C212" s="145"/>
      <c r="D212" s="145"/>
      <c r="E212" s="145"/>
      <c r="F212" s="145"/>
    </row>
    <row r="213" spans="1:6" x14ac:dyDescent="0.45">
      <c r="A213" s="145"/>
      <c r="B213" s="145"/>
      <c r="C213" s="145"/>
      <c r="D213" s="145"/>
      <c r="E213" s="145"/>
      <c r="F213" s="145"/>
    </row>
    <row r="214" spans="1:6" x14ac:dyDescent="0.45">
      <c r="A214" s="145"/>
      <c r="B214" s="145"/>
      <c r="C214" s="145"/>
      <c r="D214" s="145"/>
      <c r="E214" s="145"/>
      <c r="F214" s="145"/>
    </row>
    <row r="215" spans="1:6" x14ac:dyDescent="0.45">
      <c r="A215" s="145"/>
      <c r="B215" s="145"/>
      <c r="C215" s="145"/>
      <c r="D215" s="145"/>
      <c r="E215" s="145"/>
      <c r="F215" s="145"/>
    </row>
    <row r="216" spans="1:6" x14ac:dyDescent="0.45">
      <c r="A216" s="145"/>
      <c r="B216" s="145"/>
      <c r="C216" s="145"/>
      <c r="D216" s="145"/>
      <c r="E216" s="145"/>
      <c r="F216" s="145"/>
    </row>
    <row r="217" spans="1:6" x14ac:dyDescent="0.45">
      <c r="A217" s="145"/>
      <c r="B217" s="145"/>
      <c r="C217" s="145"/>
      <c r="D217" s="145"/>
      <c r="E217" s="145"/>
      <c r="F217" s="145"/>
    </row>
    <row r="218" spans="1:6" x14ac:dyDescent="0.45">
      <c r="A218" s="145"/>
      <c r="B218" s="145"/>
      <c r="C218" s="145"/>
      <c r="D218" s="145"/>
      <c r="E218" s="145"/>
      <c r="F218" s="145"/>
    </row>
    <row r="219" spans="1:6" x14ac:dyDescent="0.45">
      <c r="A219" s="145"/>
      <c r="B219" s="145"/>
      <c r="C219" s="145"/>
      <c r="D219" s="145"/>
      <c r="E219" s="145"/>
      <c r="F219" s="145"/>
    </row>
    <row r="220" spans="1:6" x14ac:dyDescent="0.45">
      <c r="A220" s="145"/>
      <c r="B220" s="145"/>
      <c r="C220" s="145"/>
      <c r="D220" s="145"/>
      <c r="E220" s="145"/>
      <c r="F220" s="145"/>
    </row>
    <row r="221" spans="1:6" x14ac:dyDescent="0.45">
      <c r="A221" s="145"/>
      <c r="B221" s="145"/>
      <c r="C221" s="145"/>
      <c r="D221" s="145"/>
      <c r="E221" s="145"/>
      <c r="F221" s="145"/>
    </row>
    <row r="222" spans="1:6" x14ac:dyDescent="0.45">
      <c r="A222" s="145"/>
      <c r="B222" s="145"/>
      <c r="C222" s="145"/>
      <c r="D222" s="145"/>
      <c r="E222" s="145"/>
      <c r="F222" s="145"/>
    </row>
    <row r="223" spans="1:6" x14ac:dyDescent="0.45">
      <c r="A223" s="145"/>
      <c r="B223" s="145"/>
      <c r="C223" s="145"/>
      <c r="D223" s="145"/>
      <c r="E223" s="145"/>
      <c r="F223" s="145"/>
    </row>
    <row r="224" spans="1:6" x14ac:dyDescent="0.45">
      <c r="A224" s="145"/>
      <c r="B224" s="145"/>
      <c r="C224" s="145"/>
      <c r="D224" s="145"/>
      <c r="E224" s="145"/>
      <c r="F224" s="145"/>
    </row>
    <row r="225" spans="1:6" x14ac:dyDescent="0.45">
      <c r="A225" s="145"/>
      <c r="B225" s="145"/>
      <c r="C225" s="145"/>
      <c r="D225" s="145"/>
      <c r="E225" s="145"/>
      <c r="F225" s="145"/>
    </row>
    <row r="226" spans="1:6" x14ac:dyDescent="0.45">
      <c r="A226" s="145"/>
      <c r="B226" s="145"/>
      <c r="C226" s="145"/>
      <c r="D226" s="145"/>
      <c r="E226" s="145"/>
      <c r="F226" s="145"/>
    </row>
    <row r="227" spans="1:6" x14ac:dyDescent="0.45">
      <c r="A227" s="145"/>
      <c r="B227" s="145"/>
      <c r="C227" s="145"/>
      <c r="D227" s="145"/>
      <c r="E227" s="145"/>
      <c r="F227" s="145"/>
    </row>
    <row r="228" spans="1:6" x14ac:dyDescent="0.45">
      <c r="A228" s="145"/>
      <c r="B228" s="145"/>
      <c r="C228" s="145"/>
      <c r="D228" s="145"/>
      <c r="E228" s="145"/>
      <c r="F228" s="145"/>
    </row>
    <row r="229" spans="1:6" x14ac:dyDescent="0.45">
      <c r="A229" s="145"/>
      <c r="B229" s="145"/>
      <c r="C229" s="145"/>
      <c r="D229" s="145"/>
      <c r="E229" s="145"/>
      <c r="F229" s="145"/>
    </row>
    <row r="230" spans="1:6" x14ac:dyDescent="0.45">
      <c r="A230" s="145"/>
      <c r="B230" s="145"/>
      <c r="C230" s="145"/>
      <c r="D230" s="145"/>
      <c r="E230" s="145"/>
      <c r="F230" s="145"/>
    </row>
    <row r="231" spans="1:6" x14ac:dyDescent="0.45">
      <c r="A231" s="145"/>
      <c r="B231" s="145"/>
      <c r="C231" s="145"/>
      <c r="D231" s="145"/>
      <c r="E231" s="145"/>
      <c r="F231" s="145"/>
    </row>
    <row r="232" spans="1:6" x14ac:dyDescent="0.45">
      <c r="A232" s="145"/>
      <c r="B232" s="145"/>
      <c r="C232" s="145"/>
      <c r="D232" s="145"/>
      <c r="E232" s="145"/>
      <c r="F232" s="145"/>
    </row>
    <row r="233" spans="1:6" x14ac:dyDescent="0.45">
      <c r="A233" s="145"/>
      <c r="B233" s="145"/>
      <c r="C233" s="145"/>
      <c r="D233" s="145"/>
      <c r="E233" s="145"/>
      <c r="F233" s="145"/>
    </row>
    <row r="234" spans="1:6" x14ac:dyDescent="0.45">
      <c r="A234" s="145"/>
      <c r="B234" s="145"/>
      <c r="C234" s="145"/>
      <c r="D234" s="145"/>
      <c r="E234" s="145"/>
      <c r="F234" s="145"/>
    </row>
  </sheetData>
  <mergeCells count="1">
    <mergeCell ref="A3:B3"/>
  </mergeCells>
  <conditionalFormatting sqref="A19">
    <cfRule type="cellIs" dxfId="11" priority="1" operator="greaterThan">
      <formula>1</formula>
    </cfRule>
    <cfRule type="cellIs" dxfId="10" priority="2" operator="lessThan">
      <formula>1</formula>
    </cfRule>
  </conditionalFormatting>
  <dataValidations count="3">
    <dataValidation type="list" allowBlank="1" showInputMessage="1" showErrorMessage="1" sqref="D7:D8 D11:D12" xr:uid="{00000000-0002-0000-1600-000000000000}">
      <formula1>Boolean_Scale</formula1>
    </dataValidation>
    <dataValidation type="list" allowBlank="1" showInputMessage="1" showErrorMessage="1" sqref="D5:D6 D9:D10" xr:uid="{00000000-0002-0000-1600-000001000000}">
      <formula1>Likert_Scale</formula1>
    </dataValidation>
    <dataValidation type="list" allowBlank="1" showInputMessage="1" showErrorMessage="1" sqref="A5:A12" xr:uid="{00000000-0002-0000-1600-000002000000}">
      <formula1>"Ja,Nein"</formula1>
    </dataValidation>
  </dataValidations>
  <pageMargins left="0.39370078740157483" right="0.39370078740157483" top="0.98425196850393704" bottom="0.78740157480314965" header="0.11811023622047245" footer="0.11811023622047245"/>
  <pageSetup paperSize="9" scale="78" orientation="landscape" r:id="rId1"/>
  <headerFooter>
    <oddHeader xml:space="preserve">&amp;L&amp;G
&amp;C&amp;14
&amp;16&amp;A&amp;R
&amp;G </oddHeader>
    <oddFooter>&amp;L&amp;F&amp;C&amp;P von &amp;N&amp;R&amp;D</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abelle20">
    <tabColor rgb="FFFFC000"/>
    <pageSetUpPr fitToPage="1"/>
  </sheetPr>
  <dimension ref="A1:F235"/>
  <sheetViews>
    <sheetView topLeftCell="A2" zoomScale="110" zoomScaleNormal="110" zoomScaleSheetLayoutView="100" workbookViewId="0">
      <selection activeCell="D11" sqref="D11"/>
    </sheetView>
  </sheetViews>
  <sheetFormatPr baseColWidth="10" defaultColWidth="80.265625" defaultRowHeight="14.25" x14ac:dyDescent="0.45"/>
  <cols>
    <col min="1" max="2" width="11.73046875" style="8" customWidth="1"/>
    <col min="3" max="3" width="80.265625" style="8"/>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111</v>
      </c>
      <c r="B1" s="2"/>
      <c r="C1" s="3"/>
      <c r="D1" s="4"/>
      <c r="E1" s="4"/>
    </row>
    <row r="2" spans="1:5" x14ac:dyDescent="0.45">
      <c r="A2" s="30"/>
      <c r="B2" s="30"/>
      <c r="C2" s="30"/>
      <c r="D2" s="30"/>
      <c r="E2" s="30"/>
    </row>
    <row r="3" spans="1:5" s="11" customFormat="1" ht="13.15" x14ac:dyDescent="0.4">
      <c r="A3" s="360"/>
      <c r="B3" s="360"/>
      <c r="C3" s="57"/>
      <c r="D3" s="9"/>
      <c r="E3" s="10"/>
    </row>
    <row r="4" spans="1:5" ht="39.4" x14ac:dyDescent="0.45">
      <c r="A4" s="277" t="s">
        <v>9</v>
      </c>
      <c r="B4" s="277" t="s">
        <v>20</v>
      </c>
      <c r="C4" s="278" t="s">
        <v>185</v>
      </c>
      <c r="D4" s="278" t="s">
        <v>22</v>
      </c>
      <c r="E4" s="278" t="s">
        <v>23</v>
      </c>
    </row>
    <row r="5" spans="1:5" ht="26.25" x14ac:dyDescent="0.45">
      <c r="A5" s="309" t="s">
        <v>10</v>
      </c>
      <c r="B5" s="31">
        <f t="shared" ref="B5:B11" si="0">IF(A5="Nein", 0, $A$18)</f>
        <v>0.14285714285714285</v>
      </c>
      <c r="C5" s="21" t="s">
        <v>246</v>
      </c>
      <c r="D5" s="32" t="s">
        <v>10</v>
      </c>
      <c r="E5" s="33"/>
    </row>
    <row r="6" spans="1:5" ht="91.9" x14ac:dyDescent="0.45">
      <c r="A6" s="309" t="s">
        <v>10</v>
      </c>
      <c r="B6" s="31">
        <f t="shared" si="0"/>
        <v>0.14285714285714285</v>
      </c>
      <c r="C6" s="21" t="s">
        <v>155</v>
      </c>
      <c r="D6" s="32" t="s">
        <v>14</v>
      </c>
      <c r="E6" s="33"/>
    </row>
    <row r="7" spans="1:5" ht="26.25" x14ac:dyDescent="0.45">
      <c r="A7" s="309" t="s">
        <v>10</v>
      </c>
      <c r="B7" s="31">
        <f t="shared" si="0"/>
        <v>0.14285714285714285</v>
      </c>
      <c r="C7" s="21" t="s">
        <v>156</v>
      </c>
      <c r="D7" s="32" t="s">
        <v>13</v>
      </c>
      <c r="E7" s="33"/>
    </row>
    <row r="8" spans="1:5" ht="65.650000000000006" x14ac:dyDescent="0.45">
      <c r="A8" s="309" t="s">
        <v>10</v>
      </c>
      <c r="B8" s="31">
        <f t="shared" si="0"/>
        <v>0.14285714285714285</v>
      </c>
      <c r="C8" s="21" t="s">
        <v>157</v>
      </c>
      <c r="D8" s="32" t="s">
        <v>10</v>
      </c>
      <c r="E8" s="33"/>
    </row>
    <row r="9" spans="1:5" ht="39.4" x14ac:dyDescent="0.45">
      <c r="A9" s="309" t="s">
        <v>10</v>
      </c>
      <c r="B9" s="31">
        <f t="shared" si="0"/>
        <v>0.14285714285714285</v>
      </c>
      <c r="C9" s="21" t="s">
        <v>247</v>
      </c>
      <c r="D9" s="32" t="s">
        <v>25</v>
      </c>
      <c r="E9" s="33"/>
    </row>
    <row r="10" spans="1:5" ht="26.25" x14ac:dyDescent="0.45">
      <c r="A10" s="309" t="s">
        <v>10</v>
      </c>
      <c r="B10" s="31">
        <f t="shared" si="0"/>
        <v>0.14285714285714285</v>
      </c>
      <c r="C10" s="21" t="s">
        <v>248</v>
      </c>
      <c r="D10" s="32" t="s">
        <v>25</v>
      </c>
      <c r="E10" s="33"/>
    </row>
    <row r="11" spans="1:5" ht="26.25" x14ac:dyDescent="0.45">
      <c r="A11" s="309" t="s">
        <v>10</v>
      </c>
      <c r="B11" s="31">
        <f t="shared" si="0"/>
        <v>0.14285714285714285</v>
      </c>
      <c r="C11" s="21" t="s">
        <v>249</v>
      </c>
      <c r="D11" s="32" t="s">
        <v>25</v>
      </c>
      <c r="E11" s="50"/>
    </row>
    <row r="12" spans="1:5" x14ac:dyDescent="0.45">
      <c r="A12" s="309" t="s">
        <v>16</v>
      </c>
      <c r="B12" s="31">
        <f t="shared" ref="B12:B13" si="1">IF(A12="Nein", 0, $A$18)</f>
        <v>0</v>
      </c>
      <c r="C12" s="312"/>
      <c r="D12" s="32" t="s">
        <v>10</v>
      </c>
      <c r="E12" s="33"/>
    </row>
    <row r="13" spans="1:5" x14ac:dyDescent="0.45">
      <c r="A13" s="309" t="s">
        <v>16</v>
      </c>
      <c r="B13" s="31">
        <f t="shared" si="1"/>
        <v>0</v>
      </c>
      <c r="C13" s="312"/>
      <c r="D13" s="32" t="s">
        <v>10</v>
      </c>
      <c r="E13" s="33"/>
    </row>
    <row r="14" spans="1:5" x14ac:dyDescent="0.45">
      <c r="A14" s="34"/>
      <c r="B14" s="34"/>
      <c r="C14" s="34"/>
      <c r="D14" s="34"/>
      <c r="E14" s="34"/>
    </row>
    <row r="15" spans="1:5" x14ac:dyDescent="0.45">
      <c r="A15" s="35" t="s">
        <v>17</v>
      </c>
      <c r="B15" s="36"/>
      <c r="C15" s="36"/>
      <c r="D15" s="36"/>
      <c r="E15" s="36"/>
    </row>
    <row r="16" spans="1:5" x14ac:dyDescent="0.45">
      <c r="A16" s="37">
        <f>COUNTIF(A5:A13, "Ja")</f>
        <v>7</v>
      </c>
      <c r="B16" s="18"/>
      <c r="C16" s="36"/>
      <c r="D16" s="36"/>
      <c r="E16" s="36"/>
    </row>
    <row r="17" spans="1:6" x14ac:dyDescent="0.45">
      <c r="A17" s="38" t="s">
        <v>18</v>
      </c>
      <c r="B17" s="36"/>
      <c r="C17" s="36"/>
      <c r="D17" s="36"/>
      <c r="E17" s="36"/>
    </row>
    <row r="18" spans="1:6" x14ac:dyDescent="0.45">
      <c r="A18" s="39">
        <f>1/A16</f>
        <v>0.14285714285714285</v>
      </c>
      <c r="B18" s="18"/>
      <c r="C18" s="36"/>
      <c r="D18" s="36"/>
      <c r="E18" s="36"/>
    </row>
    <row r="19" spans="1:6" x14ac:dyDescent="0.45">
      <c r="A19" s="38" t="s">
        <v>6</v>
      </c>
      <c r="B19" s="36"/>
      <c r="C19" s="36"/>
      <c r="D19" s="36"/>
      <c r="E19" s="36"/>
    </row>
    <row r="20" spans="1:6" x14ac:dyDescent="0.45">
      <c r="A20" s="39">
        <f>SUM(B5:B13)</f>
        <v>0.99999999999999978</v>
      </c>
      <c r="B20" s="18"/>
      <c r="C20" s="36"/>
      <c r="D20" s="36"/>
      <c r="E20" s="36"/>
    </row>
    <row r="21" spans="1:6" x14ac:dyDescent="0.45">
      <c r="A21" s="11"/>
      <c r="B21" s="11"/>
      <c r="C21" s="11"/>
      <c r="D21" s="11"/>
      <c r="E21" s="11"/>
      <c r="F21" s="11"/>
    </row>
    <row r="22" spans="1:6" x14ac:dyDescent="0.45">
      <c r="A22" s="11"/>
      <c r="B22" s="11"/>
      <c r="C22" s="11"/>
      <c r="D22" s="11"/>
      <c r="E22" s="11"/>
      <c r="F22" s="11"/>
    </row>
    <row r="23" spans="1:6" x14ac:dyDescent="0.45">
      <c r="A23" s="11"/>
      <c r="B23" s="11"/>
      <c r="C23" s="11"/>
      <c r="D23" s="11"/>
      <c r="E23" s="11"/>
      <c r="F23" s="11"/>
    </row>
    <row r="24" spans="1:6" x14ac:dyDescent="0.45">
      <c r="A24" s="11"/>
      <c r="B24" s="11"/>
      <c r="C24" s="11"/>
      <c r="D24" s="11"/>
      <c r="E24" s="11"/>
      <c r="F24" s="11"/>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sheetData>
  <mergeCells count="1">
    <mergeCell ref="A3:B3"/>
  </mergeCells>
  <conditionalFormatting sqref="A20">
    <cfRule type="cellIs" dxfId="9" priority="1" operator="greaterThan">
      <formula>1</formula>
    </cfRule>
    <cfRule type="cellIs" dxfId="8" priority="2" operator="lessThan">
      <formula>1</formula>
    </cfRule>
  </conditionalFormatting>
  <dataValidations count="3">
    <dataValidation type="list" allowBlank="1" showInputMessage="1" showErrorMessage="1" sqref="D9:D11 D6:D7" xr:uid="{00000000-0002-0000-1700-000000000000}">
      <formula1>Likert_Scale</formula1>
    </dataValidation>
    <dataValidation type="list" allowBlank="1" showInputMessage="1" showErrorMessage="1" sqref="D5 D12:D13 D8" xr:uid="{00000000-0002-0000-1700-000001000000}">
      <formula1>Boolean_Scale</formula1>
    </dataValidation>
    <dataValidation type="list" allowBlank="1" showInputMessage="1" showErrorMessage="1" sqref="A5:A13" xr:uid="{00000000-0002-0000-1700-000003000000}">
      <formula1>"Ja,Nein"</formula1>
    </dataValidation>
  </dataValidations>
  <pageMargins left="0.39370078740157483" right="0.39370078740157483" top="0.98425196850393704" bottom="0.78740157480314965" header="0.11811023622047245" footer="0.11811023622047245"/>
  <pageSetup paperSize="9" scale="84" orientation="landscape" r:id="rId1"/>
  <headerFooter>
    <oddHeader xml:space="preserve">&amp;L&amp;G
&amp;C&amp;14
&amp;16&amp;A&amp;R
&amp;G </oddHeader>
    <oddFooter>&amp;L&amp;F&amp;C&amp;P von &amp;N&amp;R&amp;D</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abelle21">
    <tabColor rgb="FFFFC000"/>
    <pageSetUpPr fitToPage="1"/>
  </sheetPr>
  <dimension ref="A1:F238"/>
  <sheetViews>
    <sheetView topLeftCell="A5" zoomScale="110" zoomScaleNormal="110" zoomScaleSheetLayoutView="100" workbookViewId="0">
      <selection activeCell="A15" sqref="A15"/>
    </sheetView>
  </sheetViews>
  <sheetFormatPr baseColWidth="10" defaultColWidth="80.265625" defaultRowHeight="14.25" x14ac:dyDescent="0.45"/>
  <cols>
    <col min="1" max="2" width="11.73046875" style="259" customWidth="1"/>
    <col min="3" max="3" width="80.265625" style="259"/>
    <col min="4" max="4" width="20.3984375" style="259" customWidth="1"/>
    <col min="5" max="5" width="41.1328125" style="259" customWidth="1"/>
    <col min="6" max="6" width="37.86328125" style="259" customWidth="1"/>
    <col min="7" max="7" width="5" style="259" customWidth="1"/>
    <col min="8" max="16384" width="80.265625" style="259"/>
  </cols>
  <sheetData>
    <row r="1" spans="1:5" s="257" customFormat="1" ht="15.75" x14ac:dyDescent="0.5">
      <c r="A1" s="253" t="s">
        <v>112</v>
      </c>
      <c r="B1" s="254"/>
      <c r="C1" s="255"/>
      <c r="D1" s="256"/>
      <c r="E1" s="256"/>
    </row>
    <row r="2" spans="1:5" x14ac:dyDescent="0.45">
      <c r="A2" s="258"/>
      <c r="B2" s="258"/>
      <c r="C2" s="258"/>
      <c r="D2" s="258"/>
      <c r="E2" s="258"/>
    </row>
    <row r="3" spans="1:5" s="257" customFormat="1" ht="13.15" x14ac:dyDescent="0.4">
      <c r="A3" s="364"/>
      <c r="B3" s="364"/>
      <c r="C3" s="260"/>
      <c r="D3" s="261"/>
      <c r="E3" s="262"/>
    </row>
    <row r="4" spans="1:5" ht="39.4" x14ac:dyDescent="0.45">
      <c r="A4" s="277" t="s">
        <v>9</v>
      </c>
      <c r="B4" s="277" t="s">
        <v>20</v>
      </c>
      <c r="C4" s="278" t="s">
        <v>185</v>
      </c>
      <c r="D4" s="278" t="s">
        <v>22</v>
      </c>
      <c r="E4" s="278" t="s">
        <v>23</v>
      </c>
    </row>
    <row r="5" spans="1:5" ht="52.5" x14ac:dyDescent="0.45">
      <c r="A5" s="320" t="s">
        <v>10</v>
      </c>
      <c r="B5" s="263">
        <f t="shared" ref="B5:B14" si="0">IF(A5="Nein", 0, $A$21)</f>
        <v>0.1111111111111111</v>
      </c>
      <c r="C5" s="264" t="s">
        <v>80</v>
      </c>
      <c r="D5" s="265" t="s">
        <v>14</v>
      </c>
      <c r="E5" s="266"/>
    </row>
    <row r="6" spans="1:5" x14ac:dyDescent="0.45">
      <c r="A6" s="320" t="s">
        <v>10</v>
      </c>
      <c r="B6" s="263">
        <f t="shared" si="0"/>
        <v>0.1111111111111111</v>
      </c>
      <c r="C6" s="264" t="s">
        <v>81</v>
      </c>
      <c r="D6" s="265" t="s">
        <v>10</v>
      </c>
      <c r="E6" s="266"/>
    </row>
    <row r="7" spans="1:5" ht="39.4" x14ac:dyDescent="0.45">
      <c r="A7" s="320" t="s">
        <v>10</v>
      </c>
      <c r="B7" s="263">
        <f t="shared" si="0"/>
        <v>0.1111111111111111</v>
      </c>
      <c r="C7" s="55" t="s">
        <v>172</v>
      </c>
      <c r="D7" s="265" t="s">
        <v>10</v>
      </c>
      <c r="E7" s="266"/>
    </row>
    <row r="8" spans="1:5" ht="26.25" x14ac:dyDescent="0.45">
      <c r="A8" s="320" t="s">
        <v>10</v>
      </c>
      <c r="B8" s="263">
        <f t="shared" si="0"/>
        <v>0.1111111111111111</v>
      </c>
      <c r="C8" s="55" t="s">
        <v>173</v>
      </c>
      <c r="D8" s="265" t="s">
        <v>10</v>
      </c>
      <c r="E8" s="266"/>
    </row>
    <row r="9" spans="1:5" ht="26.25" x14ac:dyDescent="0.45">
      <c r="A9" s="320" t="s">
        <v>10</v>
      </c>
      <c r="B9" s="263">
        <f t="shared" si="0"/>
        <v>0.1111111111111111</v>
      </c>
      <c r="C9" s="55" t="s">
        <v>169</v>
      </c>
      <c r="D9" s="265" t="s">
        <v>13</v>
      </c>
      <c r="E9" s="266"/>
    </row>
    <row r="10" spans="1:5" ht="39.4" x14ac:dyDescent="0.45">
      <c r="A10" s="320" t="s">
        <v>10</v>
      </c>
      <c r="B10" s="263">
        <f t="shared" si="0"/>
        <v>0.1111111111111111</v>
      </c>
      <c r="C10" s="264" t="s">
        <v>153</v>
      </c>
      <c r="D10" s="265" t="s">
        <v>10</v>
      </c>
      <c r="E10" s="266"/>
    </row>
    <row r="11" spans="1:5" ht="78.75" x14ac:dyDescent="0.45">
      <c r="A11" s="320" t="s">
        <v>10</v>
      </c>
      <c r="B11" s="263">
        <f t="shared" si="0"/>
        <v>0.1111111111111111</v>
      </c>
      <c r="C11" s="264" t="s">
        <v>250</v>
      </c>
      <c r="D11" s="265" t="s">
        <v>14</v>
      </c>
      <c r="E11" s="266"/>
    </row>
    <row r="12" spans="1:5" ht="91.9" x14ac:dyDescent="0.45">
      <c r="A12" s="320" t="s">
        <v>10</v>
      </c>
      <c r="B12" s="263">
        <f t="shared" si="0"/>
        <v>0.1111111111111111</v>
      </c>
      <c r="C12" s="264" t="s">
        <v>251</v>
      </c>
      <c r="D12" s="265" t="s">
        <v>13</v>
      </c>
      <c r="E12" s="266"/>
    </row>
    <row r="13" spans="1:5" ht="26.25" x14ac:dyDescent="0.45">
      <c r="A13" s="320" t="s">
        <v>10</v>
      </c>
      <c r="B13" s="263">
        <f t="shared" si="0"/>
        <v>0.1111111111111111</v>
      </c>
      <c r="C13" s="264" t="s">
        <v>154</v>
      </c>
      <c r="D13" s="265" t="s">
        <v>12</v>
      </c>
      <c r="E13" s="267"/>
    </row>
    <row r="14" spans="1:5" ht="39.4" x14ac:dyDescent="0.45">
      <c r="A14" s="309" t="s">
        <v>16</v>
      </c>
      <c r="B14" s="263">
        <f t="shared" si="0"/>
        <v>0</v>
      </c>
      <c r="C14" s="264" t="s">
        <v>82</v>
      </c>
      <c r="D14" s="265" t="s">
        <v>14</v>
      </c>
      <c r="E14" s="266"/>
    </row>
    <row r="15" spans="1:5" x14ac:dyDescent="0.45">
      <c r="A15" s="320" t="s">
        <v>16</v>
      </c>
      <c r="B15" s="263">
        <f t="shared" ref="B15:B16" si="1">IF(A15="Nein", 0, $A$21)</f>
        <v>0</v>
      </c>
      <c r="C15" s="316"/>
      <c r="D15" s="265" t="s">
        <v>10</v>
      </c>
      <c r="E15" s="266"/>
    </row>
    <row r="16" spans="1:5" x14ac:dyDescent="0.45">
      <c r="A16" s="320" t="s">
        <v>16</v>
      </c>
      <c r="B16" s="263">
        <f t="shared" si="1"/>
        <v>0</v>
      </c>
      <c r="C16" s="316"/>
      <c r="D16" s="265" t="s">
        <v>10</v>
      </c>
      <c r="E16" s="266"/>
    </row>
    <row r="17" spans="1:6" x14ac:dyDescent="0.45">
      <c r="A17" s="268"/>
      <c r="B17" s="268"/>
      <c r="C17" s="268"/>
      <c r="D17" s="268"/>
      <c r="E17" s="268"/>
    </row>
    <row r="18" spans="1:6" x14ac:dyDescent="0.45">
      <c r="A18" s="269" t="s">
        <v>17</v>
      </c>
      <c r="B18" s="270"/>
      <c r="C18" s="270"/>
      <c r="D18" s="270"/>
      <c r="E18" s="270"/>
    </row>
    <row r="19" spans="1:6" x14ac:dyDescent="0.45">
      <c r="A19" s="271">
        <f>COUNTIF(A5:A16, "Ja")</f>
        <v>9</v>
      </c>
      <c r="B19" s="272"/>
      <c r="C19" s="270"/>
      <c r="D19" s="270"/>
      <c r="E19" s="270"/>
    </row>
    <row r="20" spans="1:6" x14ac:dyDescent="0.45">
      <c r="A20" s="273" t="s">
        <v>18</v>
      </c>
      <c r="B20" s="270"/>
      <c r="C20" s="270"/>
      <c r="D20" s="270"/>
      <c r="E20" s="270"/>
    </row>
    <row r="21" spans="1:6" x14ac:dyDescent="0.45">
      <c r="A21" s="274">
        <f>1/A19</f>
        <v>0.1111111111111111</v>
      </c>
      <c r="B21" s="272"/>
      <c r="C21" s="270"/>
      <c r="D21" s="270"/>
      <c r="E21" s="270"/>
    </row>
    <row r="22" spans="1:6" x14ac:dyDescent="0.45">
      <c r="A22" s="273" t="s">
        <v>6</v>
      </c>
      <c r="B22" s="270"/>
      <c r="C22" s="270"/>
      <c r="D22" s="270"/>
      <c r="E22" s="270"/>
    </row>
    <row r="23" spans="1:6" x14ac:dyDescent="0.45">
      <c r="A23" s="274">
        <f>SUM(B5:B16)</f>
        <v>1.0000000000000002</v>
      </c>
      <c r="B23" s="272"/>
      <c r="C23" s="270"/>
      <c r="D23" s="270"/>
      <c r="E23" s="270"/>
    </row>
    <row r="24" spans="1:6" x14ac:dyDescent="0.45">
      <c r="A24" s="257"/>
      <c r="B24" s="257"/>
      <c r="C24" s="257"/>
      <c r="D24" s="257"/>
      <c r="E24" s="257"/>
      <c r="F24" s="257"/>
    </row>
    <row r="25" spans="1:6" x14ac:dyDescent="0.45">
      <c r="A25" s="257"/>
      <c r="B25" s="257"/>
      <c r="C25" s="257"/>
      <c r="D25" s="257"/>
      <c r="E25" s="257"/>
      <c r="F25" s="257"/>
    </row>
    <row r="26" spans="1:6" x14ac:dyDescent="0.45">
      <c r="A26" s="257"/>
      <c r="B26" s="257"/>
      <c r="C26" s="257"/>
      <c r="D26" s="257"/>
      <c r="E26" s="257"/>
      <c r="F26" s="257"/>
    </row>
    <row r="27" spans="1:6" x14ac:dyDescent="0.45">
      <c r="A27" s="257"/>
      <c r="B27" s="257"/>
      <c r="C27" s="257"/>
      <c r="D27" s="257"/>
      <c r="E27" s="257"/>
      <c r="F27" s="257"/>
    </row>
    <row r="28" spans="1:6" x14ac:dyDescent="0.45">
      <c r="A28" s="257"/>
      <c r="B28" s="257"/>
      <c r="C28" s="257"/>
      <c r="D28" s="257"/>
      <c r="E28" s="257"/>
      <c r="F28" s="257"/>
    </row>
    <row r="29" spans="1:6" x14ac:dyDescent="0.45">
      <c r="A29" s="257"/>
      <c r="B29" s="257"/>
      <c r="C29" s="257"/>
      <c r="D29" s="257"/>
      <c r="E29" s="257"/>
      <c r="F29" s="257"/>
    </row>
    <row r="30" spans="1:6" x14ac:dyDescent="0.45">
      <c r="A30" s="257"/>
      <c r="B30" s="257"/>
      <c r="C30" s="257"/>
      <c r="D30" s="257"/>
      <c r="E30" s="257"/>
      <c r="F30" s="257"/>
    </row>
    <row r="31" spans="1:6" x14ac:dyDescent="0.45">
      <c r="A31" s="257"/>
      <c r="B31" s="257"/>
      <c r="C31" s="257"/>
      <c r="D31" s="257"/>
      <c r="E31" s="257"/>
      <c r="F31" s="257"/>
    </row>
    <row r="32" spans="1:6" x14ac:dyDescent="0.45">
      <c r="A32" s="257"/>
      <c r="B32" s="257"/>
      <c r="C32" s="257"/>
      <c r="D32" s="257"/>
      <c r="E32" s="257"/>
      <c r="F32" s="257"/>
    </row>
    <row r="33" spans="1:6" x14ac:dyDescent="0.45">
      <c r="A33" s="257"/>
      <c r="B33" s="257"/>
      <c r="C33" s="257"/>
      <c r="D33" s="257"/>
      <c r="E33" s="257"/>
      <c r="F33" s="257"/>
    </row>
    <row r="34" spans="1:6" x14ac:dyDescent="0.45">
      <c r="A34" s="257"/>
      <c r="B34" s="257"/>
      <c r="C34" s="257"/>
      <c r="D34" s="257"/>
      <c r="E34" s="257"/>
      <c r="F34" s="257"/>
    </row>
    <row r="35" spans="1:6" x14ac:dyDescent="0.45">
      <c r="A35" s="257"/>
      <c r="B35" s="257"/>
      <c r="C35" s="257"/>
      <c r="D35" s="257"/>
      <c r="E35" s="257"/>
      <c r="F35" s="257"/>
    </row>
    <row r="36" spans="1:6" x14ac:dyDescent="0.45">
      <c r="A36" s="257"/>
      <c r="B36" s="257"/>
      <c r="C36" s="257"/>
      <c r="D36" s="257"/>
      <c r="E36" s="257"/>
      <c r="F36" s="257"/>
    </row>
    <row r="37" spans="1:6" x14ac:dyDescent="0.45">
      <c r="A37" s="257"/>
      <c r="B37" s="257"/>
      <c r="C37" s="257"/>
      <c r="D37" s="257"/>
      <c r="E37" s="257"/>
      <c r="F37" s="257"/>
    </row>
    <row r="38" spans="1:6" x14ac:dyDescent="0.45">
      <c r="A38" s="257"/>
      <c r="B38" s="257"/>
      <c r="C38" s="257"/>
      <c r="D38" s="257"/>
      <c r="E38" s="257"/>
      <c r="F38" s="257"/>
    </row>
    <row r="39" spans="1:6" x14ac:dyDescent="0.45">
      <c r="A39" s="257"/>
      <c r="B39" s="257"/>
      <c r="C39" s="257"/>
      <c r="D39" s="257"/>
      <c r="E39" s="257"/>
      <c r="F39" s="257"/>
    </row>
    <row r="40" spans="1:6" x14ac:dyDescent="0.45">
      <c r="A40" s="257"/>
      <c r="B40" s="257"/>
      <c r="C40" s="257"/>
      <c r="D40" s="257"/>
      <c r="E40" s="257"/>
      <c r="F40" s="257"/>
    </row>
    <row r="41" spans="1:6" x14ac:dyDescent="0.45">
      <c r="A41" s="257"/>
      <c r="B41" s="257"/>
      <c r="C41" s="257"/>
      <c r="D41" s="257"/>
      <c r="E41" s="257"/>
      <c r="F41" s="257"/>
    </row>
    <row r="42" spans="1:6" x14ac:dyDescent="0.45">
      <c r="A42" s="257"/>
      <c r="B42" s="257"/>
      <c r="C42" s="257"/>
      <c r="D42" s="257"/>
      <c r="E42" s="257"/>
      <c r="F42" s="257"/>
    </row>
    <row r="43" spans="1:6" x14ac:dyDescent="0.45">
      <c r="A43" s="257"/>
      <c r="B43" s="257"/>
      <c r="C43" s="257"/>
      <c r="D43" s="257"/>
      <c r="E43" s="257"/>
      <c r="F43" s="257"/>
    </row>
    <row r="44" spans="1:6" x14ac:dyDescent="0.45">
      <c r="A44" s="257"/>
      <c r="B44" s="257"/>
      <c r="C44" s="257"/>
      <c r="D44" s="257"/>
      <c r="E44" s="257"/>
      <c r="F44" s="257"/>
    </row>
    <row r="45" spans="1:6" x14ac:dyDescent="0.45">
      <c r="A45" s="257"/>
      <c r="B45" s="257"/>
      <c r="C45" s="257"/>
      <c r="D45" s="257"/>
      <c r="E45" s="257"/>
      <c r="F45" s="257"/>
    </row>
    <row r="46" spans="1:6" x14ac:dyDescent="0.45">
      <c r="A46" s="257"/>
      <c r="B46" s="257"/>
      <c r="C46" s="257"/>
      <c r="D46" s="257"/>
      <c r="E46" s="257"/>
      <c r="F46" s="257"/>
    </row>
    <row r="47" spans="1:6" x14ac:dyDescent="0.45">
      <c r="A47" s="257"/>
      <c r="B47" s="257"/>
      <c r="C47" s="257"/>
      <c r="D47" s="257"/>
      <c r="E47" s="257"/>
      <c r="F47" s="257"/>
    </row>
    <row r="48" spans="1:6" x14ac:dyDescent="0.45">
      <c r="A48" s="257"/>
      <c r="B48" s="257"/>
      <c r="C48" s="257"/>
      <c r="D48" s="257"/>
      <c r="E48" s="257"/>
      <c r="F48" s="257"/>
    </row>
    <row r="49" spans="1:6" x14ac:dyDescent="0.45">
      <c r="A49" s="257"/>
      <c r="B49" s="257"/>
      <c r="C49" s="257"/>
      <c r="D49" s="257"/>
      <c r="E49" s="257"/>
      <c r="F49" s="257"/>
    </row>
    <row r="50" spans="1:6" x14ac:dyDescent="0.45">
      <c r="A50" s="257"/>
      <c r="B50" s="257"/>
      <c r="C50" s="257"/>
      <c r="D50" s="257"/>
      <c r="E50" s="257"/>
      <c r="F50" s="257"/>
    </row>
    <row r="51" spans="1:6" x14ac:dyDescent="0.45">
      <c r="A51" s="257"/>
      <c r="B51" s="257"/>
      <c r="C51" s="257"/>
      <c r="D51" s="257"/>
      <c r="E51" s="257"/>
      <c r="F51" s="257"/>
    </row>
    <row r="52" spans="1:6" x14ac:dyDescent="0.45">
      <c r="A52" s="257"/>
      <c r="B52" s="257"/>
      <c r="C52" s="257"/>
      <c r="D52" s="257"/>
      <c r="E52" s="257"/>
      <c r="F52" s="257"/>
    </row>
    <row r="53" spans="1:6" x14ac:dyDescent="0.45">
      <c r="A53" s="257"/>
      <c r="B53" s="257"/>
      <c r="C53" s="257"/>
      <c r="D53" s="257"/>
      <c r="E53" s="257"/>
      <c r="F53" s="257"/>
    </row>
    <row r="54" spans="1:6" x14ac:dyDescent="0.45">
      <c r="A54" s="257"/>
      <c r="B54" s="257"/>
      <c r="C54" s="257"/>
      <c r="D54" s="257"/>
      <c r="E54" s="257"/>
      <c r="F54" s="257"/>
    </row>
    <row r="55" spans="1:6" x14ac:dyDescent="0.45">
      <c r="A55" s="257"/>
      <c r="B55" s="257"/>
      <c r="C55" s="257"/>
      <c r="D55" s="257"/>
      <c r="E55" s="257"/>
      <c r="F55" s="257"/>
    </row>
    <row r="56" spans="1:6" x14ac:dyDescent="0.45">
      <c r="A56" s="257"/>
      <c r="B56" s="257"/>
      <c r="C56" s="257"/>
      <c r="D56" s="257"/>
      <c r="E56" s="257"/>
      <c r="F56" s="257"/>
    </row>
    <row r="57" spans="1:6" x14ac:dyDescent="0.45">
      <c r="A57" s="257"/>
      <c r="B57" s="257"/>
      <c r="C57" s="257"/>
      <c r="D57" s="257"/>
      <c r="E57" s="257"/>
      <c r="F57" s="257"/>
    </row>
    <row r="58" spans="1:6" x14ac:dyDescent="0.45">
      <c r="A58" s="257"/>
      <c r="B58" s="257"/>
      <c r="C58" s="257"/>
      <c r="D58" s="257"/>
      <c r="E58" s="257"/>
      <c r="F58" s="257"/>
    </row>
    <row r="59" spans="1:6" x14ac:dyDescent="0.45">
      <c r="A59" s="257"/>
      <c r="B59" s="257"/>
      <c r="C59" s="257"/>
      <c r="D59" s="257"/>
      <c r="E59" s="257"/>
      <c r="F59" s="257"/>
    </row>
    <row r="60" spans="1:6" x14ac:dyDescent="0.45">
      <c r="A60" s="257"/>
      <c r="B60" s="257"/>
      <c r="C60" s="257"/>
      <c r="D60" s="257"/>
      <c r="E60" s="257"/>
      <c r="F60" s="257"/>
    </row>
    <row r="61" spans="1:6" x14ac:dyDescent="0.45">
      <c r="A61" s="257"/>
      <c r="B61" s="257"/>
      <c r="C61" s="257"/>
      <c r="D61" s="257"/>
      <c r="E61" s="257"/>
      <c r="F61" s="257"/>
    </row>
    <row r="62" spans="1:6" x14ac:dyDescent="0.45">
      <c r="A62" s="257"/>
      <c r="B62" s="257"/>
      <c r="C62" s="257"/>
      <c r="D62" s="257"/>
      <c r="E62" s="257"/>
      <c r="F62" s="257"/>
    </row>
    <row r="63" spans="1:6" x14ac:dyDescent="0.45">
      <c r="A63" s="257"/>
      <c r="B63" s="257"/>
      <c r="C63" s="257"/>
      <c r="D63" s="257"/>
      <c r="E63" s="257"/>
      <c r="F63" s="257"/>
    </row>
    <row r="64" spans="1:6" x14ac:dyDescent="0.45">
      <c r="A64" s="257"/>
      <c r="B64" s="257"/>
      <c r="C64" s="257"/>
      <c r="D64" s="257"/>
      <c r="E64" s="257"/>
      <c r="F64" s="257"/>
    </row>
    <row r="65" spans="1:6" x14ac:dyDescent="0.45">
      <c r="A65" s="257"/>
      <c r="B65" s="257"/>
      <c r="C65" s="257"/>
      <c r="D65" s="257"/>
      <c r="E65" s="257"/>
      <c r="F65" s="257"/>
    </row>
    <row r="66" spans="1:6" x14ac:dyDescent="0.45">
      <c r="A66" s="257"/>
      <c r="B66" s="257"/>
      <c r="C66" s="257"/>
      <c r="D66" s="257"/>
      <c r="E66" s="257"/>
      <c r="F66" s="257"/>
    </row>
    <row r="67" spans="1:6" x14ac:dyDescent="0.45">
      <c r="A67" s="257"/>
      <c r="B67" s="257"/>
      <c r="C67" s="257"/>
      <c r="D67" s="257"/>
      <c r="E67" s="257"/>
      <c r="F67" s="257"/>
    </row>
    <row r="68" spans="1:6" x14ac:dyDescent="0.45">
      <c r="A68" s="257"/>
      <c r="B68" s="257"/>
      <c r="C68" s="257"/>
      <c r="D68" s="257"/>
      <c r="E68" s="257"/>
      <c r="F68" s="257"/>
    </row>
    <row r="69" spans="1:6" x14ac:dyDescent="0.45">
      <c r="A69" s="257"/>
      <c r="B69" s="257"/>
      <c r="C69" s="257"/>
      <c r="D69" s="257"/>
      <c r="E69" s="257"/>
      <c r="F69" s="257"/>
    </row>
    <row r="70" spans="1:6" x14ac:dyDescent="0.45">
      <c r="A70" s="257"/>
      <c r="B70" s="257"/>
      <c r="C70" s="257"/>
      <c r="D70" s="257"/>
      <c r="E70" s="257"/>
      <c r="F70" s="257"/>
    </row>
    <row r="71" spans="1:6" x14ac:dyDescent="0.45">
      <c r="A71" s="257"/>
      <c r="B71" s="257"/>
      <c r="C71" s="257"/>
      <c r="D71" s="257"/>
      <c r="E71" s="257"/>
      <c r="F71" s="257"/>
    </row>
    <row r="72" spans="1:6" x14ac:dyDescent="0.45">
      <c r="A72" s="257"/>
      <c r="B72" s="257"/>
      <c r="C72" s="257"/>
      <c r="D72" s="257"/>
      <c r="E72" s="257"/>
      <c r="F72" s="257"/>
    </row>
    <row r="73" spans="1:6" x14ac:dyDescent="0.45">
      <c r="A73" s="257"/>
      <c r="B73" s="257"/>
      <c r="C73" s="257"/>
      <c r="D73" s="257"/>
      <c r="E73" s="257"/>
      <c r="F73" s="257"/>
    </row>
    <row r="74" spans="1:6" x14ac:dyDescent="0.45">
      <c r="A74" s="257"/>
      <c r="B74" s="257"/>
      <c r="C74" s="257"/>
      <c r="D74" s="257"/>
      <c r="E74" s="257"/>
      <c r="F74" s="257"/>
    </row>
    <row r="75" spans="1:6" x14ac:dyDescent="0.45">
      <c r="A75" s="257"/>
      <c r="B75" s="257"/>
      <c r="C75" s="257"/>
      <c r="D75" s="257"/>
      <c r="E75" s="257"/>
      <c r="F75" s="257"/>
    </row>
    <row r="76" spans="1:6" x14ac:dyDescent="0.45">
      <c r="A76" s="257"/>
      <c r="B76" s="257"/>
      <c r="C76" s="257"/>
      <c r="D76" s="257"/>
      <c r="E76" s="257"/>
      <c r="F76" s="257"/>
    </row>
    <row r="77" spans="1:6" x14ac:dyDescent="0.45">
      <c r="A77" s="257"/>
      <c r="B77" s="257"/>
      <c r="C77" s="257"/>
      <c r="D77" s="257"/>
      <c r="E77" s="257"/>
      <c r="F77" s="257"/>
    </row>
    <row r="78" spans="1:6" x14ac:dyDescent="0.45">
      <c r="A78" s="257"/>
      <c r="B78" s="257"/>
      <c r="C78" s="257"/>
      <c r="D78" s="257"/>
      <c r="E78" s="257"/>
      <c r="F78" s="257"/>
    </row>
    <row r="79" spans="1:6" x14ac:dyDescent="0.45">
      <c r="A79" s="257"/>
      <c r="B79" s="257"/>
      <c r="C79" s="257"/>
      <c r="D79" s="257"/>
      <c r="E79" s="257"/>
      <c r="F79" s="257"/>
    </row>
    <row r="80" spans="1:6" x14ac:dyDescent="0.45">
      <c r="A80" s="257"/>
      <c r="B80" s="257"/>
      <c r="C80" s="257"/>
      <c r="D80" s="257"/>
      <c r="E80" s="257"/>
      <c r="F80" s="257"/>
    </row>
    <row r="81" spans="1:6" x14ac:dyDescent="0.45">
      <c r="A81" s="257"/>
      <c r="B81" s="257"/>
      <c r="C81" s="257"/>
      <c r="D81" s="257"/>
      <c r="E81" s="257"/>
      <c r="F81" s="257"/>
    </row>
    <row r="82" spans="1:6" x14ac:dyDescent="0.45">
      <c r="A82" s="257"/>
      <c r="B82" s="257"/>
      <c r="C82" s="257"/>
      <c r="D82" s="257"/>
      <c r="E82" s="257"/>
      <c r="F82" s="257"/>
    </row>
    <row r="83" spans="1:6" x14ac:dyDescent="0.45">
      <c r="A83" s="257"/>
      <c r="B83" s="257"/>
      <c r="C83" s="257"/>
      <c r="D83" s="257"/>
      <c r="E83" s="257"/>
      <c r="F83" s="257"/>
    </row>
    <row r="84" spans="1:6" x14ac:dyDescent="0.45">
      <c r="A84" s="257"/>
      <c r="B84" s="257"/>
      <c r="C84" s="257"/>
      <c r="D84" s="257"/>
      <c r="E84" s="257"/>
      <c r="F84" s="257"/>
    </row>
    <row r="85" spans="1:6" x14ac:dyDescent="0.45">
      <c r="A85" s="257"/>
      <c r="B85" s="257"/>
      <c r="C85" s="257"/>
      <c r="D85" s="257"/>
      <c r="E85" s="257"/>
      <c r="F85" s="257"/>
    </row>
    <row r="86" spans="1:6" x14ac:dyDescent="0.45">
      <c r="A86" s="257"/>
      <c r="B86" s="257"/>
      <c r="C86" s="257"/>
      <c r="D86" s="257"/>
      <c r="E86" s="257"/>
      <c r="F86" s="257"/>
    </row>
    <row r="87" spans="1:6" x14ac:dyDescent="0.45">
      <c r="A87" s="257"/>
      <c r="B87" s="257"/>
      <c r="C87" s="257"/>
      <c r="D87" s="257"/>
      <c r="E87" s="257"/>
      <c r="F87" s="257"/>
    </row>
    <row r="88" spans="1:6" x14ac:dyDescent="0.45">
      <c r="A88" s="257"/>
      <c r="B88" s="257"/>
      <c r="C88" s="257"/>
      <c r="D88" s="257"/>
      <c r="E88" s="257"/>
      <c r="F88" s="257"/>
    </row>
    <row r="89" spans="1:6" x14ac:dyDescent="0.45">
      <c r="A89" s="257"/>
      <c r="B89" s="257"/>
      <c r="C89" s="257"/>
      <c r="D89" s="257"/>
      <c r="E89" s="257"/>
      <c r="F89" s="257"/>
    </row>
    <row r="90" spans="1:6" x14ac:dyDescent="0.45">
      <c r="A90" s="257"/>
      <c r="B90" s="257"/>
      <c r="C90" s="257"/>
      <c r="D90" s="257"/>
      <c r="E90" s="257"/>
      <c r="F90" s="257"/>
    </row>
    <row r="91" spans="1:6" x14ac:dyDescent="0.45">
      <c r="A91" s="257"/>
      <c r="B91" s="257"/>
      <c r="C91" s="257"/>
      <c r="D91" s="257"/>
      <c r="E91" s="257"/>
      <c r="F91" s="257"/>
    </row>
    <row r="92" spans="1:6" x14ac:dyDescent="0.45">
      <c r="A92" s="257"/>
      <c r="B92" s="257"/>
      <c r="C92" s="257"/>
      <c r="D92" s="257"/>
      <c r="E92" s="257"/>
      <c r="F92" s="257"/>
    </row>
    <row r="93" spans="1:6" x14ac:dyDescent="0.45">
      <c r="A93" s="257"/>
      <c r="B93" s="257"/>
      <c r="C93" s="257"/>
      <c r="D93" s="257"/>
      <c r="E93" s="257"/>
      <c r="F93" s="257"/>
    </row>
    <row r="94" spans="1:6" x14ac:dyDescent="0.45">
      <c r="A94" s="257"/>
      <c r="B94" s="257"/>
      <c r="C94" s="257"/>
      <c r="D94" s="257"/>
      <c r="E94" s="257"/>
      <c r="F94" s="257"/>
    </row>
    <row r="95" spans="1:6" x14ac:dyDescent="0.45">
      <c r="A95" s="257"/>
      <c r="B95" s="257"/>
      <c r="C95" s="257"/>
      <c r="D95" s="257"/>
      <c r="E95" s="257"/>
      <c r="F95" s="257"/>
    </row>
    <row r="96" spans="1:6" x14ac:dyDescent="0.45">
      <c r="A96" s="257"/>
      <c r="B96" s="257"/>
      <c r="C96" s="257"/>
      <c r="D96" s="257"/>
      <c r="E96" s="257"/>
      <c r="F96" s="257"/>
    </row>
    <row r="97" spans="1:6" x14ac:dyDescent="0.45">
      <c r="A97" s="257"/>
      <c r="B97" s="257"/>
      <c r="C97" s="257"/>
      <c r="D97" s="257"/>
      <c r="E97" s="257"/>
      <c r="F97" s="257"/>
    </row>
    <row r="98" spans="1:6" x14ac:dyDescent="0.45">
      <c r="A98" s="257"/>
      <c r="B98" s="257"/>
      <c r="C98" s="257"/>
      <c r="D98" s="257"/>
      <c r="E98" s="257"/>
      <c r="F98" s="257"/>
    </row>
    <row r="99" spans="1:6" x14ac:dyDescent="0.45">
      <c r="A99" s="257"/>
      <c r="B99" s="257"/>
      <c r="C99" s="257"/>
      <c r="D99" s="257"/>
      <c r="E99" s="257"/>
      <c r="F99" s="257"/>
    </row>
    <row r="100" spans="1:6" x14ac:dyDescent="0.45">
      <c r="A100" s="257"/>
      <c r="B100" s="257"/>
      <c r="C100" s="257"/>
      <c r="D100" s="257"/>
      <c r="E100" s="257"/>
      <c r="F100" s="257"/>
    </row>
    <row r="101" spans="1:6" x14ac:dyDescent="0.45">
      <c r="A101" s="257"/>
      <c r="B101" s="257"/>
      <c r="C101" s="257"/>
      <c r="D101" s="257"/>
      <c r="E101" s="257"/>
      <c r="F101" s="257"/>
    </row>
    <row r="102" spans="1:6" x14ac:dyDescent="0.45">
      <c r="A102" s="257"/>
      <c r="B102" s="257"/>
      <c r="C102" s="257"/>
      <c r="D102" s="257"/>
      <c r="E102" s="257"/>
      <c r="F102" s="257"/>
    </row>
    <row r="103" spans="1:6" x14ac:dyDescent="0.45">
      <c r="A103" s="257"/>
      <c r="B103" s="257"/>
      <c r="C103" s="257"/>
      <c r="D103" s="257"/>
      <c r="E103" s="257"/>
      <c r="F103" s="257"/>
    </row>
    <row r="104" spans="1:6" x14ac:dyDescent="0.45">
      <c r="A104" s="257"/>
      <c r="B104" s="257"/>
      <c r="C104" s="257"/>
      <c r="D104" s="257"/>
      <c r="E104" s="257"/>
      <c r="F104" s="257"/>
    </row>
    <row r="105" spans="1:6" x14ac:dyDescent="0.45">
      <c r="A105" s="257"/>
      <c r="B105" s="257"/>
      <c r="C105" s="257"/>
      <c r="D105" s="257"/>
      <c r="E105" s="257"/>
      <c r="F105" s="257"/>
    </row>
    <row r="106" spans="1:6" x14ac:dyDescent="0.45">
      <c r="A106" s="257"/>
      <c r="B106" s="257"/>
      <c r="C106" s="257"/>
      <c r="D106" s="257"/>
      <c r="E106" s="257"/>
      <c r="F106" s="257"/>
    </row>
    <row r="107" spans="1:6" x14ac:dyDescent="0.45">
      <c r="A107" s="257"/>
      <c r="B107" s="257"/>
      <c r="C107" s="257"/>
      <c r="D107" s="257"/>
      <c r="E107" s="257"/>
      <c r="F107" s="257"/>
    </row>
    <row r="108" spans="1:6" x14ac:dyDescent="0.45">
      <c r="A108" s="257"/>
      <c r="B108" s="257"/>
      <c r="C108" s="257"/>
      <c r="D108" s="257"/>
      <c r="E108" s="257"/>
      <c r="F108" s="257"/>
    </row>
    <row r="109" spans="1:6" x14ac:dyDescent="0.45">
      <c r="A109" s="257"/>
      <c r="B109" s="257"/>
      <c r="C109" s="257"/>
      <c r="D109" s="257"/>
      <c r="E109" s="257"/>
      <c r="F109" s="257"/>
    </row>
    <row r="110" spans="1:6" x14ac:dyDescent="0.45">
      <c r="A110" s="257"/>
      <c r="B110" s="257"/>
      <c r="C110" s="257"/>
      <c r="D110" s="257"/>
      <c r="E110" s="257"/>
      <c r="F110" s="257"/>
    </row>
    <row r="111" spans="1:6" x14ac:dyDescent="0.45">
      <c r="A111" s="257"/>
      <c r="B111" s="257"/>
      <c r="C111" s="257"/>
      <c r="D111" s="257"/>
      <c r="E111" s="257"/>
      <c r="F111" s="257"/>
    </row>
    <row r="112" spans="1:6" x14ac:dyDescent="0.45">
      <c r="A112" s="257"/>
      <c r="B112" s="257"/>
      <c r="C112" s="257"/>
      <c r="D112" s="257"/>
      <c r="E112" s="257"/>
      <c r="F112" s="257"/>
    </row>
    <row r="113" spans="1:6" x14ac:dyDescent="0.45">
      <c r="A113" s="257"/>
      <c r="B113" s="257"/>
      <c r="C113" s="257"/>
      <c r="D113" s="257"/>
      <c r="E113" s="257"/>
      <c r="F113" s="257"/>
    </row>
    <row r="114" spans="1:6" x14ac:dyDescent="0.45">
      <c r="A114" s="257"/>
      <c r="B114" s="257"/>
      <c r="C114" s="257"/>
      <c r="D114" s="257"/>
      <c r="E114" s="257"/>
      <c r="F114" s="257"/>
    </row>
    <row r="115" spans="1:6" x14ac:dyDescent="0.45">
      <c r="A115" s="257"/>
      <c r="B115" s="257"/>
      <c r="C115" s="257"/>
      <c r="D115" s="257"/>
      <c r="E115" s="257"/>
      <c r="F115" s="257"/>
    </row>
    <row r="116" spans="1:6" x14ac:dyDescent="0.45">
      <c r="A116" s="257"/>
      <c r="B116" s="257"/>
      <c r="C116" s="257"/>
      <c r="D116" s="257"/>
      <c r="E116" s="257"/>
      <c r="F116" s="257"/>
    </row>
    <row r="117" spans="1:6" x14ac:dyDescent="0.45">
      <c r="A117" s="257"/>
      <c r="B117" s="257"/>
      <c r="C117" s="257"/>
      <c r="D117" s="257"/>
      <c r="E117" s="257"/>
      <c r="F117" s="257"/>
    </row>
    <row r="118" spans="1:6" x14ac:dyDescent="0.45">
      <c r="A118" s="257"/>
      <c r="B118" s="257"/>
      <c r="C118" s="257"/>
      <c r="D118" s="257"/>
      <c r="E118" s="257"/>
      <c r="F118" s="257"/>
    </row>
    <row r="119" spans="1:6" x14ac:dyDescent="0.45">
      <c r="A119" s="257"/>
      <c r="B119" s="257"/>
      <c r="C119" s="257"/>
      <c r="D119" s="257"/>
      <c r="E119" s="257"/>
      <c r="F119" s="257"/>
    </row>
    <row r="120" spans="1:6" x14ac:dyDescent="0.45">
      <c r="A120" s="257"/>
      <c r="B120" s="257"/>
      <c r="C120" s="257"/>
      <c r="D120" s="257"/>
      <c r="E120" s="257"/>
      <c r="F120" s="257"/>
    </row>
    <row r="121" spans="1:6" x14ac:dyDescent="0.45">
      <c r="A121" s="257"/>
      <c r="B121" s="257"/>
      <c r="C121" s="257"/>
      <c r="D121" s="257"/>
      <c r="E121" s="257"/>
      <c r="F121" s="257"/>
    </row>
    <row r="122" spans="1:6" x14ac:dyDescent="0.45">
      <c r="A122" s="257"/>
      <c r="B122" s="257"/>
      <c r="C122" s="257"/>
      <c r="D122" s="257"/>
      <c r="E122" s="257"/>
      <c r="F122" s="257"/>
    </row>
    <row r="123" spans="1:6" x14ac:dyDescent="0.45">
      <c r="A123" s="257"/>
      <c r="B123" s="257"/>
      <c r="C123" s="257"/>
      <c r="D123" s="257"/>
      <c r="E123" s="257"/>
      <c r="F123" s="257"/>
    </row>
    <row r="124" spans="1:6" x14ac:dyDescent="0.45">
      <c r="A124" s="257"/>
      <c r="B124" s="257"/>
      <c r="C124" s="257"/>
      <c r="D124" s="257"/>
      <c r="E124" s="257"/>
      <c r="F124" s="257"/>
    </row>
    <row r="125" spans="1:6" x14ac:dyDescent="0.45">
      <c r="A125" s="257"/>
      <c r="B125" s="257"/>
      <c r="C125" s="257"/>
      <c r="D125" s="257"/>
      <c r="E125" s="257"/>
      <c r="F125" s="257"/>
    </row>
    <row r="126" spans="1:6" x14ac:dyDescent="0.45">
      <c r="A126" s="257"/>
      <c r="B126" s="257"/>
      <c r="C126" s="257"/>
      <c r="D126" s="257"/>
      <c r="E126" s="257"/>
      <c r="F126" s="257"/>
    </row>
    <row r="127" spans="1:6" x14ac:dyDescent="0.45">
      <c r="A127" s="257"/>
      <c r="B127" s="257"/>
      <c r="C127" s="257"/>
      <c r="D127" s="257"/>
      <c r="E127" s="257"/>
      <c r="F127" s="257"/>
    </row>
    <row r="128" spans="1:6" x14ac:dyDescent="0.45">
      <c r="A128" s="257"/>
      <c r="B128" s="257"/>
      <c r="C128" s="257"/>
      <c r="D128" s="257"/>
      <c r="E128" s="257"/>
      <c r="F128" s="257"/>
    </row>
    <row r="129" spans="1:6" x14ac:dyDescent="0.45">
      <c r="A129" s="257"/>
      <c r="B129" s="257"/>
      <c r="C129" s="257"/>
      <c r="D129" s="257"/>
      <c r="E129" s="257"/>
      <c r="F129" s="257"/>
    </row>
    <row r="130" spans="1:6" x14ac:dyDescent="0.45">
      <c r="A130" s="257"/>
      <c r="B130" s="257"/>
      <c r="C130" s="257"/>
      <c r="D130" s="257"/>
      <c r="E130" s="257"/>
      <c r="F130" s="257"/>
    </row>
    <row r="131" spans="1:6" x14ac:dyDescent="0.45">
      <c r="A131" s="257"/>
      <c r="B131" s="257"/>
      <c r="C131" s="257"/>
      <c r="D131" s="257"/>
      <c r="E131" s="257"/>
      <c r="F131" s="257"/>
    </row>
    <row r="132" spans="1:6" x14ac:dyDescent="0.45">
      <c r="A132" s="257"/>
      <c r="B132" s="257"/>
      <c r="C132" s="257"/>
      <c r="D132" s="257"/>
      <c r="E132" s="257"/>
      <c r="F132" s="257"/>
    </row>
    <row r="133" spans="1:6" x14ac:dyDescent="0.45">
      <c r="A133" s="257"/>
      <c r="B133" s="257"/>
      <c r="C133" s="257"/>
      <c r="D133" s="257"/>
      <c r="E133" s="257"/>
      <c r="F133" s="257"/>
    </row>
    <row r="134" spans="1:6" x14ac:dyDescent="0.45">
      <c r="A134" s="257"/>
      <c r="B134" s="257"/>
      <c r="C134" s="257"/>
      <c r="D134" s="257"/>
      <c r="E134" s="257"/>
      <c r="F134" s="257"/>
    </row>
    <row r="135" spans="1:6" x14ac:dyDescent="0.45">
      <c r="A135" s="257"/>
      <c r="B135" s="257"/>
      <c r="C135" s="257"/>
      <c r="D135" s="257"/>
      <c r="E135" s="257"/>
      <c r="F135" s="257"/>
    </row>
    <row r="136" spans="1:6" x14ac:dyDescent="0.45">
      <c r="A136" s="257"/>
      <c r="B136" s="257"/>
      <c r="C136" s="257"/>
      <c r="D136" s="257"/>
      <c r="E136" s="257"/>
      <c r="F136" s="257"/>
    </row>
    <row r="137" spans="1:6" x14ac:dyDescent="0.45">
      <c r="A137" s="257"/>
      <c r="B137" s="257"/>
      <c r="C137" s="257"/>
      <c r="D137" s="257"/>
      <c r="E137" s="257"/>
      <c r="F137" s="257"/>
    </row>
    <row r="138" spans="1:6" x14ac:dyDescent="0.45">
      <c r="A138" s="257"/>
      <c r="B138" s="257"/>
      <c r="C138" s="257"/>
      <c r="D138" s="257"/>
      <c r="E138" s="257"/>
      <c r="F138" s="257"/>
    </row>
    <row r="139" spans="1:6" x14ac:dyDescent="0.45">
      <c r="A139" s="257"/>
      <c r="B139" s="257"/>
      <c r="C139" s="257"/>
      <c r="D139" s="257"/>
      <c r="E139" s="257"/>
      <c r="F139" s="257"/>
    </row>
    <row r="140" spans="1:6" x14ac:dyDescent="0.45">
      <c r="A140" s="257"/>
      <c r="B140" s="257"/>
      <c r="C140" s="257"/>
      <c r="D140" s="257"/>
      <c r="E140" s="257"/>
      <c r="F140" s="257"/>
    </row>
    <row r="141" spans="1:6" x14ac:dyDescent="0.45">
      <c r="A141" s="257"/>
      <c r="B141" s="257"/>
      <c r="C141" s="257"/>
      <c r="D141" s="257"/>
      <c r="E141" s="257"/>
      <c r="F141" s="257"/>
    </row>
    <row r="142" spans="1:6" x14ac:dyDescent="0.45">
      <c r="A142" s="257"/>
      <c r="B142" s="257"/>
      <c r="C142" s="257"/>
      <c r="D142" s="257"/>
      <c r="E142" s="257"/>
      <c r="F142" s="257"/>
    </row>
    <row r="143" spans="1:6" x14ac:dyDescent="0.45">
      <c r="A143" s="257"/>
      <c r="B143" s="257"/>
      <c r="C143" s="257"/>
      <c r="D143" s="257"/>
      <c r="E143" s="257"/>
      <c r="F143" s="257"/>
    </row>
    <row r="144" spans="1:6" x14ac:dyDescent="0.45">
      <c r="A144" s="257"/>
      <c r="B144" s="257"/>
      <c r="C144" s="257"/>
      <c r="D144" s="257"/>
      <c r="E144" s="257"/>
      <c r="F144" s="257"/>
    </row>
    <row r="145" spans="1:6" x14ac:dyDescent="0.45">
      <c r="A145" s="257"/>
      <c r="B145" s="257"/>
      <c r="C145" s="257"/>
      <c r="D145" s="257"/>
      <c r="E145" s="257"/>
      <c r="F145" s="257"/>
    </row>
    <row r="146" spans="1:6" x14ac:dyDescent="0.45">
      <c r="A146" s="257"/>
      <c r="B146" s="257"/>
      <c r="C146" s="257"/>
      <c r="D146" s="257"/>
      <c r="E146" s="257"/>
      <c r="F146" s="257"/>
    </row>
    <row r="147" spans="1:6" x14ac:dyDescent="0.45">
      <c r="A147" s="257"/>
      <c r="B147" s="257"/>
      <c r="C147" s="257"/>
      <c r="D147" s="257"/>
      <c r="E147" s="257"/>
      <c r="F147" s="257"/>
    </row>
    <row r="148" spans="1:6" x14ac:dyDescent="0.45">
      <c r="A148" s="257"/>
      <c r="B148" s="257"/>
      <c r="C148" s="257"/>
      <c r="D148" s="257"/>
      <c r="E148" s="257"/>
      <c r="F148" s="257"/>
    </row>
    <row r="149" spans="1:6" x14ac:dyDescent="0.45">
      <c r="A149" s="257"/>
      <c r="B149" s="257"/>
      <c r="C149" s="257"/>
      <c r="D149" s="257"/>
      <c r="E149" s="257"/>
      <c r="F149" s="257"/>
    </row>
    <row r="150" spans="1:6" x14ac:dyDescent="0.45">
      <c r="A150" s="257"/>
      <c r="B150" s="257"/>
      <c r="C150" s="257"/>
      <c r="D150" s="257"/>
      <c r="E150" s="257"/>
      <c r="F150" s="257"/>
    </row>
    <row r="151" spans="1:6" x14ac:dyDescent="0.45">
      <c r="A151" s="257"/>
      <c r="B151" s="257"/>
      <c r="C151" s="257"/>
      <c r="D151" s="257"/>
      <c r="E151" s="257"/>
      <c r="F151" s="257"/>
    </row>
    <row r="152" spans="1:6" x14ac:dyDescent="0.45">
      <c r="A152" s="257"/>
      <c r="B152" s="257"/>
      <c r="C152" s="257"/>
      <c r="D152" s="257"/>
      <c r="E152" s="257"/>
      <c r="F152" s="257"/>
    </row>
    <row r="153" spans="1:6" x14ac:dyDescent="0.45">
      <c r="A153" s="257"/>
      <c r="B153" s="257"/>
      <c r="C153" s="257"/>
      <c r="D153" s="257"/>
      <c r="E153" s="257"/>
      <c r="F153" s="257"/>
    </row>
    <row r="154" spans="1:6" x14ac:dyDescent="0.45">
      <c r="A154" s="257"/>
      <c r="B154" s="257"/>
      <c r="C154" s="257"/>
      <c r="D154" s="257"/>
      <c r="E154" s="257"/>
      <c r="F154" s="257"/>
    </row>
    <row r="155" spans="1:6" x14ac:dyDescent="0.45">
      <c r="A155" s="257"/>
      <c r="B155" s="257"/>
      <c r="C155" s="257"/>
      <c r="D155" s="257"/>
      <c r="E155" s="257"/>
      <c r="F155" s="257"/>
    </row>
    <row r="156" spans="1:6" x14ac:dyDescent="0.45">
      <c r="A156" s="257"/>
      <c r="B156" s="257"/>
      <c r="C156" s="257"/>
      <c r="D156" s="257"/>
      <c r="E156" s="257"/>
      <c r="F156" s="257"/>
    </row>
    <row r="157" spans="1:6" x14ac:dyDescent="0.45">
      <c r="A157" s="257"/>
      <c r="B157" s="257"/>
      <c r="C157" s="257"/>
      <c r="D157" s="257"/>
      <c r="E157" s="257"/>
      <c r="F157" s="257"/>
    </row>
    <row r="158" spans="1:6" x14ac:dyDescent="0.45">
      <c r="A158" s="257"/>
      <c r="B158" s="257"/>
      <c r="C158" s="257"/>
      <c r="D158" s="257"/>
      <c r="E158" s="257"/>
      <c r="F158" s="257"/>
    </row>
    <row r="159" spans="1:6" x14ac:dyDescent="0.45">
      <c r="A159" s="257"/>
      <c r="B159" s="257"/>
      <c r="C159" s="257"/>
      <c r="D159" s="257"/>
      <c r="E159" s="257"/>
      <c r="F159" s="257"/>
    </row>
    <row r="160" spans="1:6" x14ac:dyDescent="0.45">
      <c r="A160" s="257"/>
      <c r="B160" s="257"/>
      <c r="C160" s="257"/>
      <c r="D160" s="257"/>
      <c r="E160" s="257"/>
      <c r="F160" s="257"/>
    </row>
    <row r="161" spans="1:6" x14ac:dyDescent="0.45">
      <c r="A161" s="257"/>
      <c r="B161" s="257"/>
      <c r="C161" s="257"/>
      <c r="D161" s="257"/>
      <c r="E161" s="257"/>
      <c r="F161" s="257"/>
    </row>
    <row r="162" spans="1:6" x14ac:dyDescent="0.45">
      <c r="A162" s="257"/>
      <c r="B162" s="257"/>
      <c r="C162" s="257"/>
      <c r="D162" s="257"/>
      <c r="E162" s="257"/>
      <c r="F162" s="257"/>
    </row>
    <row r="163" spans="1:6" x14ac:dyDescent="0.45">
      <c r="A163" s="257"/>
      <c r="B163" s="257"/>
      <c r="C163" s="257"/>
      <c r="D163" s="257"/>
      <c r="E163" s="257"/>
      <c r="F163" s="257"/>
    </row>
    <row r="164" spans="1:6" x14ac:dyDescent="0.45">
      <c r="A164" s="257"/>
      <c r="B164" s="257"/>
      <c r="C164" s="257"/>
      <c r="D164" s="257"/>
      <c r="E164" s="257"/>
      <c r="F164" s="257"/>
    </row>
    <row r="165" spans="1:6" x14ac:dyDescent="0.45">
      <c r="A165" s="257"/>
      <c r="B165" s="257"/>
      <c r="C165" s="257"/>
      <c r="D165" s="257"/>
      <c r="E165" s="257"/>
      <c r="F165" s="257"/>
    </row>
    <row r="166" spans="1:6" x14ac:dyDescent="0.45">
      <c r="A166" s="257"/>
      <c r="B166" s="257"/>
      <c r="C166" s="257"/>
      <c r="D166" s="257"/>
      <c r="E166" s="257"/>
      <c r="F166" s="257"/>
    </row>
    <row r="167" spans="1:6" x14ac:dyDescent="0.45">
      <c r="A167" s="257"/>
      <c r="B167" s="257"/>
      <c r="C167" s="257"/>
      <c r="D167" s="257"/>
      <c r="E167" s="257"/>
      <c r="F167" s="257"/>
    </row>
    <row r="168" spans="1:6" x14ac:dyDescent="0.45">
      <c r="A168" s="257"/>
      <c r="B168" s="257"/>
      <c r="C168" s="257"/>
      <c r="D168" s="257"/>
      <c r="E168" s="257"/>
      <c r="F168" s="257"/>
    </row>
    <row r="169" spans="1:6" x14ac:dyDescent="0.45">
      <c r="A169" s="257"/>
      <c r="B169" s="257"/>
      <c r="C169" s="257"/>
      <c r="D169" s="257"/>
      <c r="E169" s="257"/>
      <c r="F169" s="257"/>
    </row>
    <row r="170" spans="1:6" x14ac:dyDescent="0.45">
      <c r="A170" s="257"/>
      <c r="B170" s="257"/>
      <c r="C170" s="257"/>
      <c r="D170" s="257"/>
      <c r="E170" s="257"/>
      <c r="F170" s="257"/>
    </row>
    <row r="171" spans="1:6" x14ac:dyDescent="0.45">
      <c r="A171" s="257"/>
      <c r="B171" s="257"/>
      <c r="C171" s="257"/>
      <c r="D171" s="257"/>
      <c r="E171" s="257"/>
      <c r="F171" s="257"/>
    </row>
    <row r="172" spans="1:6" x14ac:dyDescent="0.45">
      <c r="A172" s="257"/>
      <c r="B172" s="257"/>
      <c r="C172" s="257"/>
      <c r="D172" s="257"/>
      <c r="E172" s="257"/>
      <c r="F172" s="257"/>
    </row>
    <row r="173" spans="1:6" x14ac:dyDescent="0.45">
      <c r="A173" s="257"/>
      <c r="B173" s="257"/>
      <c r="C173" s="257"/>
      <c r="D173" s="257"/>
      <c r="E173" s="257"/>
      <c r="F173" s="257"/>
    </row>
    <row r="174" spans="1:6" x14ac:dyDescent="0.45">
      <c r="A174" s="257"/>
      <c r="B174" s="257"/>
      <c r="C174" s="257"/>
      <c r="D174" s="257"/>
      <c r="E174" s="257"/>
      <c r="F174" s="257"/>
    </row>
    <row r="175" spans="1:6" x14ac:dyDescent="0.45">
      <c r="A175" s="257"/>
      <c r="B175" s="257"/>
      <c r="C175" s="257"/>
      <c r="D175" s="257"/>
      <c r="E175" s="257"/>
      <c r="F175" s="257"/>
    </row>
    <row r="176" spans="1:6" x14ac:dyDescent="0.45">
      <c r="A176" s="257"/>
      <c r="B176" s="257"/>
      <c r="C176" s="257"/>
      <c r="D176" s="257"/>
      <c r="E176" s="257"/>
      <c r="F176" s="257"/>
    </row>
    <row r="177" spans="1:6" x14ac:dyDescent="0.45">
      <c r="A177" s="257"/>
      <c r="B177" s="257"/>
      <c r="C177" s="257"/>
      <c r="D177" s="257"/>
      <c r="E177" s="257"/>
      <c r="F177" s="257"/>
    </row>
    <row r="178" spans="1:6" x14ac:dyDescent="0.45">
      <c r="A178" s="257"/>
      <c r="B178" s="257"/>
      <c r="C178" s="257"/>
      <c r="D178" s="257"/>
      <c r="E178" s="257"/>
      <c r="F178" s="257"/>
    </row>
    <row r="179" spans="1:6" x14ac:dyDescent="0.45">
      <c r="A179" s="257"/>
      <c r="B179" s="257"/>
      <c r="C179" s="257"/>
      <c r="D179" s="257"/>
      <c r="E179" s="257"/>
      <c r="F179" s="257"/>
    </row>
    <row r="180" spans="1:6" x14ac:dyDescent="0.45">
      <c r="A180" s="257"/>
      <c r="B180" s="257"/>
      <c r="C180" s="257"/>
      <c r="D180" s="257"/>
      <c r="E180" s="257"/>
      <c r="F180" s="257"/>
    </row>
    <row r="181" spans="1:6" x14ac:dyDescent="0.45">
      <c r="A181" s="257"/>
      <c r="B181" s="257"/>
      <c r="C181" s="257"/>
      <c r="D181" s="257"/>
      <c r="E181" s="257"/>
      <c r="F181" s="257"/>
    </row>
    <row r="182" spans="1:6" x14ac:dyDescent="0.45">
      <c r="A182" s="257"/>
      <c r="B182" s="257"/>
      <c r="C182" s="257"/>
      <c r="D182" s="257"/>
      <c r="E182" s="257"/>
      <c r="F182" s="257"/>
    </row>
    <row r="183" spans="1:6" x14ac:dyDescent="0.45">
      <c r="A183" s="257"/>
      <c r="B183" s="257"/>
      <c r="C183" s="257"/>
      <c r="D183" s="257"/>
      <c r="E183" s="257"/>
      <c r="F183" s="257"/>
    </row>
    <row r="184" spans="1:6" x14ac:dyDescent="0.45">
      <c r="A184" s="257"/>
      <c r="B184" s="257"/>
      <c r="C184" s="257"/>
      <c r="D184" s="257"/>
      <c r="E184" s="257"/>
      <c r="F184" s="257"/>
    </row>
    <row r="185" spans="1:6" x14ac:dyDescent="0.45">
      <c r="A185" s="257"/>
      <c r="B185" s="257"/>
      <c r="C185" s="257"/>
      <c r="D185" s="257"/>
      <c r="E185" s="257"/>
      <c r="F185" s="257"/>
    </row>
    <row r="186" spans="1:6" x14ac:dyDescent="0.45">
      <c r="A186" s="257"/>
      <c r="B186" s="257"/>
      <c r="C186" s="257"/>
      <c r="D186" s="257"/>
      <c r="E186" s="257"/>
      <c r="F186" s="257"/>
    </row>
    <row r="187" spans="1:6" x14ac:dyDescent="0.45">
      <c r="A187" s="257"/>
      <c r="B187" s="257"/>
      <c r="C187" s="257"/>
      <c r="D187" s="257"/>
      <c r="E187" s="257"/>
      <c r="F187" s="257"/>
    </row>
    <row r="188" spans="1:6" x14ac:dyDescent="0.45">
      <c r="A188" s="257"/>
      <c r="B188" s="257"/>
      <c r="C188" s="257"/>
      <c r="D188" s="257"/>
      <c r="E188" s="257"/>
      <c r="F188" s="257"/>
    </row>
    <row r="189" spans="1:6" x14ac:dyDescent="0.45">
      <c r="A189" s="257"/>
      <c r="B189" s="257"/>
      <c r="C189" s="257"/>
      <c r="D189" s="257"/>
      <c r="E189" s="257"/>
      <c r="F189" s="257"/>
    </row>
    <row r="190" spans="1:6" x14ac:dyDescent="0.45">
      <c r="A190" s="257"/>
      <c r="B190" s="257"/>
      <c r="C190" s="257"/>
      <c r="D190" s="257"/>
      <c r="E190" s="257"/>
      <c r="F190" s="257"/>
    </row>
    <row r="191" spans="1:6" x14ac:dyDescent="0.45">
      <c r="A191" s="257"/>
      <c r="B191" s="257"/>
      <c r="C191" s="257"/>
      <c r="D191" s="257"/>
      <c r="E191" s="257"/>
      <c r="F191" s="257"/>
    </row>
    <row r="192" spans="1:6" x14ac:dyDescent="0.45">
      <c r="A192" s="257"/>
      <c r="B192" s="257"/>
      <c r="C192" s="257"/>
      <c r="D192" s="257"/>
      <c r="E192" s="257"/>
      <c r="F192" s="257"/>
    </row>
    <row r="193" spans="1:6" x14ac:dyDescent="0.45">
      <c r="A193" s="257"/>
      <c r="B193" s="257"/>
      <c r="C193" s="257"/>
      <c r="D193" s="257"/>
      <c r="E193" s="257"/>
      <c r="F193" s="257"/>
    </row>
    <row r="194" spans="1:6" x14ac:dyDescent="0.45">
      <c r="A194" s="257"/>
      <c r="B194" s="257"/>
      <c r="C194" s="257"/>
      <c r="D194" s="257"/>
      <c r="E194" s="257"/>
      <c r="F194" s="257"/>
    </row>
    <row r="195" spans="1:6" x14ac:dyDescent="0.45">
      <c r="A195" s="257"/>
      <c r="B195" s="257"/>
      <c r="C195" s="257"/>
      <c r="D195" s="257"/>
      <c r="E195" s="257"/>
      <c r="F195" s="257"/>
    </row>
    <row r="196" spans="1:6" x14ac:dyDescent="0.45">
      <c r="A196" s="257"/>
      <c r="B196" s="257"/>
      <c r="C196" s="257"/>
      <c r="D196" s="257"/>
      <c r="E196" s="257"/>
      <c r="F196" s="257"/>
    </row>
    <row r="197" spans="1:6" x14ac:dyDescent="0.45">
      <c r="A197" s="257"/>
      <c r="B197" s="257"/>
      <c r="C197" s="257"/>
      <c r="D197" s="257"/>
      <c r="E197" s="257"/>
      <c r="F197" s="257"/>
    </row>
    <row r="198" spans="1:6" x14ac:dyDescent="0.45">
      <c r="A198" s="257"/>
      <c r="B198" s="257"/>
      <c r="C198" s="257"/>
      <c r="D198" s="257"/>
      <c r="E198" s="257"/>
      <c r="F198" s="257"/>
    </row>
    <row r="199" spans="1:6" x14ac:dyDescent="0.45">
      <c r="A199" s="257"/>
      <c r="B199" s="257"/>
      <c r="C199" s="257"/>
      <c r="D199" s="257"/>
      <c r="E199" s="257"/>
      <c r="F199" s="257"/>
    </row>
    <row r="200" spans="1:6" x14ac:dyDescent="0.45">
      <c r="A200" s="257"/>
      <c r="B200" s="257"/>
      <c r="C200" s="257"/>
      <c r="D200" s="257"/>
      <c r="E200" s="257"/>
      <c r="F200" s="257"/>
    </row>
    <row r="201" spans="1:6" x14ac:dyDescent="0.45">
      <c r="A201" s="257"/>
      <c r="B201" s="257"/>
      <c r="C201" s="257"/>
      <c r="D201" s="257"/>
      <c r="E201" s="257"/>
      <c r="F201" s="257"/>
    </row>
    <row r="202" spans="1:6" x14ac:dyDescent="0.45">
      <c r="A202" s="257"/>
      <c r="B202" s="257"/>
      <c r="C202" s="257"/>
      <c r="D202" s="257"/>
      <c r="E202" s="257"/>
      <c r="F202" s="257"/>
    </row>
    <row r="203" spans="1:6" x14ac:dyDescent="0.45">
      <c r="A203" s="257"/>
      <c r="B203" s="257"/>
      <c r="C203" s="257"/>
      <c r="D203" s="257"/>
      <c r="E203" s="257"/>
      <c r="F203" s="257"/>
    </row>
    <row r="204" spans="1:6" x14ac:dyDescent="0.45">
      <c r="A204" s="257"/>
      <c r="B204" s="257"/>
      <c r="C204" s="257"/>
      <c r="D204" s="257"/>
      <c r="E204" s="257"/>
      <c r="F204" s="257"/>
    </row>
    <row r="205" spans="1:6" x14ac:dyDescent="0.45">
      <c r="A205" s="257"/>
      <c r="B205" s="257"/>
      <c r="C205" s="257"/>
      <c r="D205" s="257"/>
      <c r="E205" s="257"/>
      <c r="F205" s="257"/>
    </row>
    <row r="206" spans="1:6" x14ac:dyDescent="0.45">
      <c r="A206" s="257"/>
      <c r="B206" s="257"/>
      <c r="C206" s="257"/>
      <c r="D206" s="257"/>
      <c r="E206" s="257"/>
      <c r="F206" s="257"/>
    </row>
    <row r="207" spans="1:6" x14ac:dyDescent="0.45">
      <c r="A207" s="257"/>
      <c r="B207" s="257"/>
      <c r="C207" s="257"/>
      <c r="D207" s="257"/>
      <c r="E207" s="257"/>
      <c r="F207" s="257"/>
    </row>
    <row r="208" spans="1:6" x14ac:dyDescent="0.45">
      <c r="A208" s="257"/>
      <c r="B208" s="257"/>
      <c r="C208" s="257"/>
      <c r="D208" s="257"/>
      <c r="E208" s="257"/>
      <c r="F208" s="257"/>
    </row>
    <row r="209" spans="1:6" x14ac:dyDescent="0.45">
      <c r="A209" s="257"/>
      <c r="B209" s="257"/>
      <c r="C209" s="257"/>
      <c r="D209" s="257"/>
      <c r="E209" s="257"/>
      <c r="F209" s="257"/>
    </row>
    <row r="210" spans="1:6" x14ac:dyDescent="0.45">
      <c r="A210" s="257"/>
      <c r="B210" s="257"/>
      <c r="C210" s="257"/>
      <c r="D210" s="257"/>
      <c r="E210" s="257"/>
      <c r="F210" s="257"/>
    </row>
    <row r="211" spans="1:6" x14ac:dyDescent="0.45">
      <c r="A211" s="257"/>
      <c r="B211" s="257"/>
      <c r="C211" s="257"/>
      <c r="D211" s="257"/>
      <c r="E211" s="257"/>
      <c r="F211" s="257"/>
    </row>
    <row r="212" spans="1:6" x14ac:dyDescent="0.45">
      <c r="A212" s="257"/>
      <c r="B212" s="257"/>
      <c r="C212" s="257"/>
      <c r="D212" s="257"/>
      <c r="E212" s="257"/>
      <c r="F212" s="257"/>
    </row>
    <row r="213" spans="1:6" x14ac:dyDescent="0.45">
      <c r="A213" s="257"/>
      <c r="B213" s="257"/>
      <c r="C213" s="257"/>
      <c r="D213" s="257"/>
      <c r="E213" s="257"/>
      <c r="F213" s="257"/>
    </row>
    <row r="214" spans="1:6" x14ac:dyDescent="0.45">
      <c r="A214" s="257"/>
      <c r="B214" s="257"/>
      <c r="C214" s="257"/>
      <c r="D214" s="257"/>
      <c r="E214" s="257"/>
      <c r="F214" s="257"/>
    </row>
    <row r="215" spans="1:6" x14ac:dyDescent="0.45">
      <c r="A215" s="257"/>
      <c r="B215" s="257"/>
      <c r="C215" s="257"/>
      <c r="D215" s="257"/>
      <c r="E215" s="257"/>
      <c r="F215" s="257"/>
    </row>
    <row r="216" spans="1:6" x14ac:dyDescent="0.45">
      <c r="A216" s="257"/>
      <c r="B216" s="257"/>
      <c r="C216" s="257"/>
      <c r="D216" s="257"/>
      <c r="E216" s="257"/>
      <c r="F216" s="257"/>
    </row>
    <row r="217" spans="1:6" x14ac:dyDescent="0.45">
      <c r="A217" s="257"/>
      <c r="B217" s="257"/>
      <c r="C217" s="257"/>
      <c r="D217" s="257"/>
      <c r="E217" s="257"/>
      <c r="F217" s="257"/>
    </row>
    <row r="218" spans="1:6" x14ac:dyDescent="0.45">
      <c r="A218" s="257"/>
      <c r="B218" s="257"/>
      <c r="C218" s="257"/>
      <c r="D218" s="257"/>
      <c r="E218" s="257"/>
      <c r="F218" s="257"/>
    </row>
    <row r="219" spans="1:6" x14ac:dyDescent="0.45">
      <c r="A219" s="257"/>
      <c r="B219" s="257"/>
      <c r="C219" s="257"/>
      <c r="D219" s="257"/>
      <c r="E219" s="257"/>
      <c r="F219" s="257"/>
    </row>
    <row r="220" spans="1:6" x14ac:dyDescent="0.45">
      <c r="A220" s="257"/>
      <c r="B220" s="257"/>
      <c r="C220" s="257"/>
      <c r="D220" s="257"/>
      <c r="E220" s="257"/>
      <c r="F220" s="257"/>
    </row>
    <row r="221" spans="1:6" x14ac:dyDescent="0.45">
      <c r="A221" s="257"/>
      <c r="B221" s="257"/>
      <c r="C221" s="257"/>
      <c r="D221" s="257"/>
      <c r="E221" s="257"/>
      <c r="F221" s="257"/>
    </row>
    <row r="222" spans="1:6" x14ac:dyDescent="0.45">
      <c r="A222" s="257"/>
      <c r="B222" s="257"/>
      <c r="C222" s="257"/>
      <c r="D222" s="257"/>
      <c r="E222" s="257"/>
      <c r="F222" s="257"/>
    </row>
    <row r="223" spans="1:6" x14ac:dyDescent="0.45">
      <c r="A223" s="257"/>
      <c r="B223" s="257"/>
      <c r="C223" s="257"/>
      <c r="D223" s="257"/>
      <c r="E223" s="257"/>
      <c r="F223" s="257"/>
    </row>
    <row r="224" spans="1:6" x14ac:dyDescent="0.45">
      <c r="A224" s="257"/>
      <c r="B224" s="257"/>
      <c r="C224" s="257"/>
      <c r="D224" s="257"/>
      <c r="E224" s="257"/>
      <c r="F224" s="257"/>
    </row>
    <row r="225" spans="1:6" x14ac:dyDescent="0.45">
      <c r="A225" s="257"/>
      <c r="B225" s="257"/>
      <c r="C225" s="257"/>
      <c r="D225" s="257"/>
      <c r="E225" s="257"/>
      <c r="F225" s="257"/>
    </row>
    <row r="226" spans="1:6" x14ac:dyDescent="0.45">
      <c r="A226" s="257"/>
      <c r="B226" s="257"/>
      <c r="C226" s="257"/>
      <c r="D226" s="257"/>
      <c r="E226" s="257"/>
      <c r="F226" s="257"/>
    </row>
    <row r="227" spans="1:6" x14ac:dyDescent="0.45">
      <c r="A227" s="257"/>
      <c r="B227" s="257"/>
      <c r="C227" s="257"/>
      <c r="D227" s="257"/>
      <c r="E227" s="257"/>
      <c r="F227" s="257"/>
    </row>
    <row r="228" spans="1:6" x14ac:dyDescent="0.45">
      <c r="A228" s="257"/>
      <c r="B228" s="257"/>
      <c r="C228" s="257"/>
      <c r="D228" s="257"/>
      <c r="E228" s="257"/>
      <c r="F228" s="257"/>
    </row>
    <row r="229" spans="1:6" x14ac:dyDescent="0.45">
      <c r="A229" s="257"/>
      <c r="B229" s="257"/>
      <c r="C229" s="257"/>
      <c r="D229" s="257"/>
      <c r="E229" s="257"/>
      <c r="F229" s="257"/>
    </row>
    <row r="230" spans="1:6" x14ac:dyDescent="0.45">
      <c r="A230" s="257"/>
      <c r="B230" s="257"/>
      <c r="C230" s="257"/>
      <c r="D230" s="257"/>
      <c r="E230" s="257"/>
      <c r="F230" s="257"/>
    </row>
    <row r="231" spans="1:6" x14ac:dyDescent="0.45">
      <c r="A231" s="257"/>
      <c r="B231" s="257"/>
      <c r="C231" s="257"/>
      <c r="D231" s="257"/>
      <c r="E231" s="257"/>
      <c r="F231" s="257"/>
    </row>
    <row r="232" spans="1:6" x14ac:dyDescent="0.45">
      <c r="A232" s="257"/>
      <c r="B232" s="257"/>
      <c r="C232" s="257"/>
      <c r="D232" s="257"/>
      <c r="E232" s="257"/>
      <c r="F232" s="257"/>
    </row>
    <row r="233" spans="1:6" x14ac:dyDescent="0.45">
      <c r="A233" s="257"/>
      <c r="B233" s="257"/>
      <c r="C233" s="257"/>
      <c r="D233" s="257"/>
      <c r="E233" s="257"/>
      <c r="F233" s="257"/>
    </row>
    <row r="234" spans="1:6" x14ac:dyDescent="0.45">
      <c r="A234" s="257"/>
      <c r="B234" s="257"/>
      <c r="C234" s="257"/>
      <c r="D234" s="257"/>
      <c r="E234" s="257"/>
      <c r="F234" s="257"/>
    </row>
    <row r="235" spans="1:6" x14ac:dyDescent="0.45">
      <c r="A235" s="257"/>
      <c r="B235" s="257"/>
      <c r="C235" s="257"/>
      <c r="D235" s="257"/>
      <c r="E235" s="257"/>
      <c r="F235" s="257"/>
    </row>
    <row r="236" spans="1:6" x14ac:dyDescent="0.45">
      <c r="A236" s="257"/>
      <c r="B236" s="257"/>
      <c r="C236" s="257"/>
      <c r="D236" s="257"/>
      <c r="E236" s="257"/>
      <c r="F236" s="257"/>
    </row>
    <row r="237" spans="1:6" x14ac:dyDescent="0.45">
      <c r="A237" s="257"/>
      <c r="B237" s="257"/>
      <c r="C237" s="257"/>
      <c r="D237" s="257"/>
      <c r="E237" s="257"/>
      <c r="F237" s="257"/>
    </row>
    <row r="238" spans="1:6" x14ac:dyDescent="0.45">
      <c r="A238" s="257"/>
      <c r="B238" s="257"/>
      <c r="C238" s="257"/>
      <c r="D238" s="257"/>
      <c r="E238" s="257"/>
      <c r="F238" s="257"/>
    </row>
  </sheetData>
  <mergeCells count="1">
    <mergeCell ref="A3:B3"/>
  </mergeCells>
  <conditionalFormatting sqref="A23">
    <cfRule type="cellIs" dxfId="7" priority="1" operator="greaterThan">
      <formula>1</formula>
    </cfRule>
    <cfRule type="cellIs" dxfId="6" priority="2" operator="lessThan">
      <formula>1</formula>
    </cfRule>
  </conditionalFormatting>
  <dataValidations count="3">
    <dataValidation type="list" allowBlank="1" showInputMessage="1" showErrorMessage="1" sqref="D15:D16 D10 D6:D8" xr:uid="{00000000-0002-0000-1800-000000000000}">
      <formula1>Boolean_Scale</formula1>
    </dataValidation>
    <dataValidation type="list" allowBlank="1" showInputMessage="1" showErrorMessage="1" sqref="D11:D14 D5:D6 D9" xr:uid="{00000000-0002-0000-1800-000001000000}">
      <formula1>Likert_Scale</formula1>
    </dataValidation>
    <dataValidation type="list" allowBlank="1" showInputMessage="1" showErrorMessage="1" sqref="A5:A16" xr:uid="{00000000-0002-0000-1800-000002000000}">
      <formula1>"Ja,Nein"</formula1>
    </dataValidation>
  </dataValidations>
  <pageMargins left="0.39370078740157483" right="0.39370078740157483" top="0.98425196850393704" bottom="0.78740157480314965" header="0.11811023622047245" footer="0.11811023622047245"/>
  <pageSetup paperSize="9" scale="71" orientation="landscape" r:id="rId1"/>
  <headerFooter>
    <oddHeader xml:space="preserve">&amp;L&amp;G
&amp;C&amp;14
&amp;16&amp;A&amp;R
&amp;G </oddHeader>
    <oddFooter>&amp;L&amp;F&amp;C&amp;P von &amp;N&amp;R&amp;D</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abelle22">
    <tabColor rgb="FFC00000"/>
    <pageSetUpPr fitToPage="1"/>
  </sheetPr>
  <dimension ref="A1:F235"/>
  <sheetViews>
    <sheetView topLeftCell="A6" zoomScale="110" zoomScaleNormal="110" zoomScaleSheetLayoutView="100" workbookViewId="0">
      <selection activeCell="C11" sqref="C11"/>
    </sheetView>
  </sheetViews>
  <sheetFormatPr baseColWidth="10" defaultColWidth="80.265625" defaultRowHeight="14.25" x14ac:dyDescent="0.45"/>
  <cols>
    <col min="1" max="2" width="11.73046875" style="8" customWidth="1"/>
    <col min="3" max="3" width="80.265625" style="8"/>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113</v>
      </c>
      <c r="B1" s="2"/>
      <c r="C1" s="3"/>
      <c r="D1" s="4"/>
      <c r="E1" s="4"/>
    </row>
    <row r="2" spans="1:5" x14ac:dyDescent="0.45">
      <c r="A2" s="30"/>
      <c r="B2" s="30"/>
      <c r="C2" s="30"/>
      <c r="D2" s="30"/>
      <c r="E2" s="30"/>
    </row>
    <row r="3" spans="1:5" s="11" customFormat="1" ht="13.15" x14ac:dyDescent="0.4">
      <c r="A3" s="360"/>
      <c r="B3" s="360"/>
      <c r="C3" s="57"/>
      <c r="D3" s="9"/>
      <c r="E3" s="10"/>
    </row>
    <row r="4" spans="1:5" ht="39.4" x14ac:dyDescent="0.45">
      <c r="A4" s="277" t="s">
        <v>9</v>
      </c>
      <c r="B4" s="277" t="s">
        <v>20</v>
      </c>
      <c r="C4" s="278" t="s">
        <v>185</v>
      </c>
      <c r="D4" s="278" t="s">
        <v>22</v>
      </c>
      <c r="E4" s="278" t="s">
        <v>23</v>
      </c>
    </row>
    <row r="5" spans="1:5" ht="78.75" x14ac:dyDescent="0.45">
      <c r="A5" s="309" t="s">
        <v>10</v>
      </c>
      <c r="B5" s="31">
        <f t="shared" ref="B5:B11" si="0">IF(A5="Nein", 0, $A$18)</f>
        <v>0.14285714285714285</v>
      </c>
      <c r="C5" s="21" t="s">
        <v>252</v>
      </c>
      <c r="D5" s="32" t="s">
        <v>10</v>
      </c>
      <c r="E5" s="33"/>
    </row>
    <row r="6" spans="1:5" ht="118.15" x14ac:dyDescent="0.45">
      <c r="A6" s="309" t="s">
        <v>10</v>
      </c>
      <c r="B6" s="31">
        <f t="shared" si="0"/>
        <v>0.14285714285714285</v>
      </c>
      <c r="C6" s="21" t="s">
        <v>253</v>
      </c>
      <c r="D6" s="32" t="s">
        <v>13</v>
      </c>
      <c r="E6" s="33"/>
    </row>
    <row r="7" spans="1:5" ht="39.4" x14ac:dyDescent="0.45">
      <c r="A7" s="309" t="s">
        <v>10</v>
      </c>
      <c r="B7" s="31">
        <f t="shared" si="0"/>
        <v>0.14285714285714285</v>
      </c>
      <c r="C7" s="21" t="s">
        <v>254</v>
      </c>
      <c r="D7" s="32" t="s">
        <v>16</v>
      </c>
      <c r="E7" s="33"/>
    </row>
    <row r="8" spans="1:5" ht="39.4" x14ac:dyDescent="0.45">
      <c r="A8" s="309" t="s">
        <v>10</v>
      </c>
      <c r="B8" s="31">
        <f t="shared" si="0"/>
        <v>0.14285714285714285</v>
      </c>
      <c r="C8" s="21" t="s">
        <v>255</v>
      </c>
      <c r="D8" s="32" t="s">
        <v>14</v>
      </c>
      <c r="E8" s="33"/>
    </row>
    <row r="9" spans="1:5" ht="78.75" x14ac:dyDescent="0.45">
      <c r="A9" s="309" t="s">
        <v>10</v>
      </c>
      <c r="B9" s="31">
        <f t="shared" si="0"/>
        <v>0.14285714285714285</v>
      </c>
      <c r="C9" s="21" t="s">
        <v>256</v>
      </c>
      <c r="D9" s="32" t="s">
        <v>13</v>
      </c>
      <c r="E9" s="33"/>
    </row>
    <row r="10" spans="1:5" ht="39.4" x14ac:dyDescent="0.45">
      <c r="A10" s="309" t="s">
        <v>10</v>
      </c>
      <c r="B10" s="31">
        <f t="shared" si="0"/>
        <v>0.14285714285714285</v>
      </c>
      <c r="C10" s="21" t="s">
        <v>257</v>
      </c>
      <c r="D10" s="32" t="s">
        <v>10</v>
      </c>
      <c r="E10" s="50"/>
    </row>
    <row r="11" spans="1:5" ht="39.4" x14ac:dyDescent="0.45">
      <c r="A11" s="309" t="s">
        <v>10</v>
      </c>
      <c r="B11" s="31">
        <f t="shared" si="0"/>
        <v>0.14285714285714285</v>
      </c>
      <c r="C11" s="21" t="s">
        <v>258</v>
      </c>
      <c r="D11" s="32" t="s">
        <v>10</v>
      </c>
      <c r="E11" s="33"/>
    </row>
    <row r="12" spans="1:5" x14ac:dyDescent="0.45">
      <c r="A12" s="309" t="s">
        <v>16</v>
      </c>
      <c r="B12" s="31">
        <f t="shared" ref="B12:B13" si="1">IF(A12="Nein", 0, $A$18)</f>
        <v>0</v>
      </c>
      <c r="C12" s="312"/>
      <c r="D12" s="32" t="s">
        <v>10</v>
      </c>
      <c r="E12" s="33"/>
    </row>
    <row r="13" spans="1:5" x14ac:dyDescent="0.45">
      <c r="A13" s="309" t="s">
        <v>16</v>
      </c>
      <c r="B13" s="31">
        <f t="shared" si="1"/>
        <v>0</v>
      </c>
      <c r="C13" s="312"/>
      <c r="D13" s="32" t="s">
        <v>10</v>
      </c>
      <c r="E13" s="33"/>
    </row>
    <row r="14" spans="1:5" x14ac:dyDescent="0.45">
      <c r="A14" s="34"/>
      <c r="B14" s="34"/>
      <c r="C14" s="34"/>
      <c r="D14" s="34"/>
      <c r="E14" s="34"/>
    </row>
    <row r="15" spans="1:5" x14ac:dyDescent="0.45">
      <c r="A15" s="35" t="s">
        <v>17</v>
      </c>
      <c r="B15" s="36"/>
      <c r="C15" s="36"/>
      <c r="D15" s="36"/>
      <c r="E15" s="36"/>
    </row>
    <row r="16" spans="1:5" x14ac:dyDescent="0.45">
      <c r="A16" s="37">
        <f>COUNTIF(A5:A13, "Ja")</f>
        <v>7</v>
      </c>
      <c r="B16" s="18"/>
      <c r="C16" s="36"/>
      <c r="D16" s="36"/>
      <c r="E16" s="36"/>
    </row>
    <row r="17" spans="1:6" x14ac:dyDescent="0.45">
      <c r="A17" s="38" t="s">
        <v>18</v>
      </c>
      <c r="B17" s="36"/>
      <c r="C17" s="36"/>
      <c r="D17" s="36"/>
      <c r="E17" s="36"/>
    </row>
    <row r="18" spans="1:6" x14ac:dyDescent="0.45">
      <c r="A18" s="39">
        <f>1/A16</f>
        <v>0.14285714285714285</v>
      </c>
      <c r="B18" s="18"/>
      <c r="C18" s="36"/>
      <c r="D18" s="36"/>
      <c r="E18" s="36"/>
    </row>
    <row r="19" spans="1:6" x14ac:dyDescent="0.45">
      <c r="A19" s="38" t="s">
        <v>6</v>
      </c>
      <c r="B19" s="36"/>
      <c r="C19" s="36"/>
      <c r="D19" s="36"/>
      <c r="E19" s="36"/>
    </row>
    <row r="20" spans="1:6" x14ac:dyDescent="0.45">
      <c r="A20" s="39">
        <f>SUM(B5:B13)</f>
        <v>0.99999999999999978</v>
      </c>
      <c r="B20" s="18"/>
      <c r="C20" s="36"/>
      <c r="D20" s="36"/>
      <c r="E20" s="36"/>
    </row>
    <row r="21" spans="1:6" x14ac:dyDescent="0.45">
      <c r="A21" s="11"/>
      <c r="B21" s="11"/>
      <c r="C21" s="11"/>
      <c r="D21" s="11"/>
      <c r="E21" s="11"/>
      <c r="F21" s="11"/>
    </row>
    <row r="22" spans="1:6" x14ac:dyDescent="0.45">
      <c r="A22" s="11"/>
      <c r="B22" s="11"/>
      <c r="C22" s="11"/>
      <c r="D22" s="11"/>
      <c r="E22" s="11"/>
      <c r="F22" s="11"/>
    </row>
    <row r="23" spans="1:6" x14ac:dyDescent="0.45">
      <c r="A23" s="11"/>
      <c r="B23" s="11"/>
      <c r="C23" s="11"/>
      <c r="D23" s="11"/>
      <c r="E23" s="11"/>
      <c r="F23" s="11"/>
    </row>
    <row r="24" spans="1:6" x14ac:dyDescent="0.45">
      <c r="A24" s="11"/>
      <c r="B24" s="11"/>
      <c r="C24" s="11"/>
      <c r="D24" s="11"/>
      <c r="E24" s="11"/>
      <c r="F24" s="11"/>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sheetData>
  <mergeCells count="1">
    <mergeCell ref="A3:B3"/>
  </mergeCells>
  <conditionalFormatting sqref="A20">
    <cfRule type="cellIs" dxfId="5" priority="1" operator="greaterThan">
      <formula>1</formula>
    </cfRule>
    <cfRule type="cellIs" dxfId="4" priority="2" operator="lessThan">
      <formula>1</formula>
    </cfRule>
  </conditionalFormatting>
  <dataValidations count="3">
    <dataValidation type="list" allowBlank="1" showInputMessage="1" showErrorMessage="1" sqref="D6 D8:D9" xr:uid="{00000000-0002-0000-1900-000000000000}">
      <formula1>Likert_Scale</formula1>
    </dataValidation>
    <dataValidation type="list" allowBlank="1" showInputMessage="1" showErrorMessage="1" sqref="D10:D13 D5 D7" xr:uid="{00000000-0002-0000-1900-000001000000}">
      <formula1>Boolean_Scale</formula1>
    </dataValidation>
    <dataValidation type="list" allowBlank="1" showInputMessage="1" showErrorMessage="1" sqref="A5:A13" xr:uid="{00000000-0002-0000-1900-000003000000}">
      <formula1>"Ja,Nein"</formula1>
    </dataValidation>
  </dataValidations>
  <pageMargins left="0.39370078740157483" right="0.39370078740157483" top="0.98425196850393704" bottom="0.78740157480314965" header="0.11811023622047245" footer="0.11811023622047245"/>
  <pageSetup paperSize="9" scale="71" orientation="landscape" r:id="rId1"/>
  <headerFooter>
    <oddHeader xml:space="preserve">&amp;L&amp;G
&amp;C&amp;14
&amp;16&amp;A&amp;R
&amp;G </oddHeader>
    <oddFooter>&amp;L&amp;F&amp;C&amp;P von &amp;N&amp;R&amp;D</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Tabelle23">
    <tabColor rgb="FFC00000"/>
    <pageSetUpPr fitToPage="1"/>
  </sheetPr>
  <dimension ref="A1:F235"/>
  <sheetViews>
    <sheetView topLeftCell="A5" zoomScale="120" zoomScaleNormal="120" zoomScaleSheetLayoutView="100" workbookViewId="0">
      <selection activeCell="A12" sqref="A12"/>
    </sheetView>
  </sheetViews>
  <sheetFormatPr baseColWidth="10" defaultColWidth="80.265625" defaultRowHeight="14.25" x14ac:dyDescent="0.45"/>
  <cols>
    <col min="1" max="2" width="11.73046875" style="8" customWidth="1"/>
    <col min="3" max="3" width="80.265625" style="8"/>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114</v>
      </c>
      <c r="B1" s="2"/>
      <c r="C1" s="3"/>
      <c r="D1" s="4"/>
      <c r="E1" s="4"/>
    </row>
    <row r="2" spans="1:5" x14ac:dyDescent="0.45">
      <c r="A2" s="30"/>
      <c r="B2" s="30"/>
      <c r="C2" s="30"/>
      <c r="D2" s="30"/>
      <c r="E2" s="30"/>
    </row>
    <row r="3" spans="1:5" s="11" customFormat="1" ht="13.15" x14ac:dyDescent="0.4">
      <c r="A3" s="360"/>
      <c r="B3" s="360"/>
      <c r="C3" s="57"/>
      <c r="D3" s="9"/>
      <c r="E3" s="10"/>
    </row>
    <row r="4" spans="1:5" ht="39.4" x14ac:dyDescent="0.45">
      <c r="A4" s="277" t="s">
        <v>9</v>
      </c>
      <c r="B4" s="277" t="s">
        <v>20</v>
      </c>
      <c r="C4" s="278" t="s">
        <v>185</v>
      </c>
      <c r="D4" s="278" t="s">
        <v>22</v>
      </c>
      <c r="E4" s="278" t="s">
        <v>23</v>
      </c>
    </row>
    <row r="5" spans="1:5" ht="26.25" x14ac:dyDescent="0.45">
      <c r="A5" s="309" t="s">
        <v>10</v>
      </c>
      <c r="B5" s="31">
        <f t="shared" ref="B5:B11" si="0">IF(A5="Nein", 0, $A$18)</f>
        <v>0.16666666666666666</v>
      </c>
      <c r="C5" s="21" t="s">
        <v>259</v>
      </c>
      <c r="D5" s="32" t="s">
        <v>10</v>
      </c>
      <c r="E5" s="33"/>
    </row>
    <row r="6" spans="1:5" ht="52.5" x14ac:dyDescent="0.45">
      <c r="A6" s="309" t="s">
        <v>10</v>
      </c>
      <c r="B6" s="31">
        <f t="shared" si="0"/>
        <v>0.16666666666666666</v>
      </c>
      <c r="C6" s="21" t="s">
        <v>260</v>
      </c>
      <c r="D6" s="32" t="s">
        <v>10</v>
      </c>
      <c r="E6" s="33"/>
    </row>
    <row r="7" spans="1:5" ht="144.4" x14ac:dyDescent="0.45">
      <c r="A7" s="309" t="s">
        <v>10</v>
      </c>
      <c r="B7" s="31">
        <f t="shared" si="0"/>
        <v>0.16666666666666666</v>
      </c>
      <c r="C7" s="21" t="s">
        <v>261</v>
      </c>
      <c r="D7" s="32" t="s">
        <v>13</v>
      </c>
      <c r="E7" s="33"/>
    </row>
    <row r="8" spans="1:5" ht="39.4" x14ac:dyDescent="0.45">
      <c r="A8" s="309" t="s">
        <v>10</v>
      </c>
      <c r="B8" s="31">
        <f t="shared" si="0"/>
        <v>0.16666666666666666</v>
      </c>
      <c r="C8" s="21" t="s">
        <v>262</v>
      </c>
      <c r="D8" s="32" t="s">
        <v>13</v>
      </c>
      <c r="E8" s="33"/>
    </row>
    <row r="9" spans="1:5" ht="26.25" x14ac:dyDescent="0.45">
      <c r="A9" s="309" t="s">
        <v>10</v>
      </c>
      <c r="B9" s="31">
        <f t="shared" si="0"/>
        <v>0.16666666666666666</v>
      </c>
      <c r="C9" s="21" t="s">
        <v>263</v>
      </c>
      <c r="D9" s="32" t="s">
        <v>16</v>
      </c>
      <c r="E9" s="50"/>
    </row>
    <row r="10" spans="1:5" x14ac:dyDescent="0.45">
      <c r="A10" s="309" t="s">
        <v>10</v>
      </c>
      <c r="B10" s="31">
        <f t="shared" si="0"/>
        <v>0.16666666666666666</v>
      </c>
      <c r="C10" s="21" t="s">
        <v>264</v>
      </c>
      <c r="D10" s="32" t="s">
        <v>16</v>
      </c>
      <c r="E10" s="33"/>
    </row>
    <row r="11" spans="1:5" ht="65.650000000000006" x14ac:dyDescent="0.45">
      <c r="A11" s="309" t="s">
        <v>16</v>
      </c>
      <c r="B11" s="31">
        <f t="shared" si="0"/>
        <v>0</v>
      </c>
      <c r="C11" s="21" t="s">
        <v>72</v>
      </c>
      <c r="D11" s="32" t="s">
        <v>14</v>
      </c>
      <c r="E11" s="33"/>
    </row>
    <row r="12" spans="1:5" x14ac:dyDescent="0.45">
      <c r="A12" s="309" t="s">
        <v>16</v>
      </c>
      <c r="B12" s="31">
        <f t="shared" ref="B12" si="1">IF(A12="Nein", 0, $A$18)</f>
        <v>0</v>
      </c>
      <c r="C12" s="312"/>
      <c r="D12" s="32" t="s">
        <v>10</v>
      </c>
      <c r="E12" s="33"/>
    </row>
    <row r="13" spans="1:5" x14ac:dyDescent="0.45">
      <c r="A13" s="309" t="s">
        <v>16</v>
      </c>
      <c r="B13" s="31">
        <f>IF(A13="Nein", 0, $A$18)</f>
        <v>0</v>
      </c>
      <c r="C13" s="312"/>
      <c r="D13" s="32" t="s">
        <v>10</v>
      </c>
      <c r="E13" s="33"/>
    </row>
    <row r="14" spans="1:5" x14ac:dyDescent="0.45">
      <c r="A14" s="34"/>
      <c r="B14" s="34"/>
      <c r="C14" s="34"/>
      <c r="D14" s="34"/>
      <c r="E14" s="34"/>
    </row>
    <row r="15" spans="1:5" x14ac:dyDescent="0.45">
      <c r="A15" s="35" t="s">
        <v>17</v>
      </c>
      <c r="B15" s="36"/>
      <c r="C15" s="36"/>
      <c r="D15" s="36"/>
      <c r="E15" s="36"/>
    </row>
    <row r="16" spans="1:5" x14ac:dyDescent="0.45">
      <c r="A16" s="37">
        <f>COUNTIF(A5:A13, "Ja")</f>
        <v>6</v>
      </c>
      <c r="B16" s="18"/>
      <c r="C16" s="36"/>
      <c r="D16" s="36"/>
      <c r="E16" s="36"/>
    </row>
    <row r="17" spans="1:6" x14ac:dyDescent="0.45">
      <c r="A17" s="38" t="s">
        <v>18</v>
      </c>
      <c r="B17" s="36"/>
      <c r="C17" s="36"/>
      <c r="D17" s="36"/>
      <c r="E17" s="36"/>
    </row>
    <row r="18" spans="1:6" x14ac:dyDescent="0.45">
      <c r="A18" s="39">
        <f>1/A16</f>
        <v>0.16666666666666666</v>
      </c>
      <c r="B18" s="18"/>
      <c r="C18" s="36"/>
      <c r="D18" s="36"/>
      <c r="E18" s="36"/>
    </row>
    <row r="19" spans="1:6" x14ac:dyDescent="0.45">
      <c r="A19" s="38" t="s">
        <v>6</v>
      </c>
      <c r="B19" s="36"/>
      <c r="C19" s="36"/>
      <c r="D19" s="36"/>
      <c r="E19" s="36"/>
    </row>
    <row r="20" spans="1:6" x14ac:dyDescent="0.45">
      <c r="A20" s="39">
        <f>SUM(B5:B13)</f>
        <v>0.99999999999999989</v>
      </c>
      <c r="B20" s="18"/>
      <c r="C20" s="36"/>
      <c r="D20" s="36"/>
      <c r="E20" s="36"/>
    </row>
    <row r="21" spans="1:6" x14ac:dyDescent="0.45">
      <c r="A21" s="11"/>
      <c r="B21" s="11"/>
      <c r="C21" s="11"/>
      <c r="D21" s="11"/>
      <c r="E21" s="11"/>
      <c r="F21" s="11"/>
    </row>
    <row r="22" spans="1:6" x14ac:dyDescent="0.45">
      <c r="A22" s="11"/>
      <c r="B22" s="11"/>
      <c r="C22" s="11"/>
      <c r="D22" s="11"/>
      <c r="E22" s="11"/>
      <c r="F22" s="11"/>
    </row>
    <row r="23" spans="1:6" x14ac:dyDescent="0.45">
      <c r="A23" s="11"/>
      <c r="B23" s="11"/>
      <c r="C23" s="11"/>
      <c r="D23" s="11"/>
      <c r="E23" s="11"/>
      <c r="F23" s="11"/>
    </row>
    <row r="24" spans="1:6" x14ac:dyDescent="0.45">
      <c r="A24" s="11"/>
      <c r="B24" s="11"/>
      <c r="C24" s="11"/>
      <c r="D24" s="11"/>
      <c r="E24" s="11"/>
      <c r="F24" s="11"/>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sheetData>
  <mergeCells count="1">
    <mergeCell ref="A3:B3"/>
  </mergeCells>
  <conditionalFormatting sqref="A20">
    <cfRule type="cellIs" dxfId="3" priority="1" operator="greaterThan">
      <formula>1</formula>
    </cfRule>
    <cfRule type="cellIs" dxfId="2" priority="2" operator="lessThan">
      <formula>1</formula>
    </cfRule>
  </conditionalFormatting>
  <dataValidations count="3">
    <dataValidation type="list" allowBlank="1" showInputMessage="1" showErrorMessage="1" sqref="D12:D13 D5:D6 D9:D10" xr:uid="{00000000-0002-0000-1A00-000000000000}">
      <formula1>Boolean_Scale</formula1>
    </dataValidation>
    <dataValidation type="list" allowBlank="1" showInputMessage="1" showErrorMessage="1" sqref="D7:D8 D11" xr:uid="{00000000-0002-0000-1A00-000001000000}">
      <formula1>Likert_Scale</formula1>
    </dataValidation>
    <dataValidation type="list" allowBlank="1" showInputMessage="1" showErrorMessage="1" sqref="A5:A13" xr:uid="{00000000-0002-0000-1A00-000002000000}">
      <formula1>"Ja,Nein"</formula1>
    </dataValidation>
  </dataValidations>
  <pageMargins left="0.39370078740157483" right="0.39370078740157483" top="0.98425196850393704" bottom="0.78740157480314965" header="0.11811023622047245" footer="0.11811023622047245"/>
  <pageSetup paperSize="9" scale="78" orientation="landscape" r:id="rId1"/>
  <headerFooter>
    <oddHeader xml:space="preserve">&amp;L&amp;G
&amp;C&amp;14
&amp;16&amp;A&amp;R
&amp;G </oddHeader>
    <oddFooter>&amp;L&amp;F&amp;C&amp;P von &amp;N&amp;R&amp;D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Tabelle25">
    <tabColor rgb="FFC00000"/>
    <pageSetUpPr fitToPage="1"/>
  </sheetPr>
  <dimension ref="A1:F237"/>
  <sheetViews>
    <sheetView topLeftCell="A7" zoomScale="110" zoomScaleNormal="110" zoomScaleSheetLayoutView="110" workbookViewId="0">
      <selection activeCell="C14" sqref="C14"/>
    </sheetView>
  </sheetViews>
  <sheetFormatPr baseColWidth="10" defaultColWidth="80.265625" defaultRowHeight="14.25" x14ac:dyDescent="0.45"/>
  <cols>
    <col min="1" max="2" width="11.73046875" style="8" customWidth="1"/>
    <col min="3" max="3" width="80.265625" style="8"/>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115</v>
      </c>
      <c r="B1" s="2"/>
      <c r="C1" s="3"/>
      <c r="D1" s="4"/>
      <c r="E1" s="4"/>
    </row>
    <row r="2" spans="1:5" x14ac:dyDescent="0.45">
      <c r="A2" s="30"/>
      <c r="B2" s="30"/>
      <c r="C2" s="30"/>
      <c r="D2" s="30"/>
      <c r="E2" s="30"/>
    </row>
    <row r="3" spans="1:5" s="11" customFormat="1" ht="13.15" x14ac:dyDescent="0.4">
      <c r="A3" s="360"/>
      <c r="B3" s="360"/>
      <c r="C3" s="57"/>
      <c r="D3" s="9"/>
      <c r="E3" s="10"/>
    </row>
    <row r="4" spans="1:5" ht="39.4" x14ac:dyDescent="0.45">
      <c r="A4" s="277" t="s">
        <v>9</v>
      </c>
      <c r="B4" s="277" t="s">
        <v>20</v>
      </c>
      <c r="C4" s="278" t="s">
        <v>185</v>
      </c>
      <c r="D4" s="278" t="s">
        <v>22</v>
      </c>
      <c r="E4" s="278" t="s">
        <v>23</v>
      </c>
    </row>
    <row r="5" spans="1:5" ht="39.4" x14ac:dyDescent="0.45">
      <c r="A5" s="309" t="s">
        <v>10</v>
      </c>
      <c r="B5" s="31">
        <f t="shared" ref="B5:B15" si="0">IF(A5="Nein", 0, $A$20)</f>
        <v>0.14285714285714285</v>
      </c>
      <c r="C5" s="21" t="s">
        <v>150</v>
      </c>
      <c r="D5" s="32" t="s">
        <v>13</v>
      </c>
      <c r="E5" s="33"/>
    </row>
    <row r="6" spans="1:5" ht="39.4" x14ac:dyDescent="0.45">
      <c r="A6" s="309" t="s">
        <v>10</v>
      </c>
      <c r="B6" s="31">
        <f t="shared" si="0"/>
        <v>0.14285714285714285</v>
      </c>
      <c r="C6" s="21" t="s">
        <v>151</v>
      </c>
      <c r="D6" s="32" t="s">
        <v>10</v>
      </c>
      <c r="E6" s="33"/>
    </row>
    <row r="7" spans="1:5" ht="105" x14ac:dyDescent="0.45">
      <c r="A7" s="309" t="s">
        <v>10</v>
      </c>
      <c r="B7" s="31">
        <f t="shared" si="0"/>
        <v>0.14285714285714285</v>
      </c>
      <c r="C7" s="21" t="s">
        <v>152</v>
      </c>
      <c r="D7" s="32" t="s">
        <v>13</v>
      </c>
      <c r="E7" s="33"/>
    </row>
    <row r="8" spans="1:5" ht="26.25" x14ac:dyDescent="0.45">
      <c r="A8" s="309" t="s">
        <v>10</v>
      </c>
      <c r="B8" s="31">
        <f t="shared" si="0"/>
        <v>0.14285714285714285</v>
      </c>
      <c r="C8" s="21" t="s">
        <v>77</v>
      </c>
      <c r="D8" s="32" t="s">
        <v>10</v>
      </c>
      <c r="E8" s="33"/>
    </row>
    <row r="9" spans="1:5" ht="26.25" x14ac:dyDescent="0.45">
      <c r="A9" s="309" t="s">
        <v>10</v>
      </c>
      <c r="B9" s="31">
        <f t="shared" si="0"/>
        <v>0.14285714285714285</v>
      </c>
      <c r="C9" s="21" t="s">
        <v>265</v>
      </c>
      <c r="D9" s="32" t="s">
        <v>16</v>
      </c>
      <c r="E9" s="50"/>
    </row>
    <row r="10" spans="1:5" ht="65.650000000000006" x14ac:dyDescent="0.45">
      <c r="A10" s="309" t="s">
        <v>16</v>
      </c>
      <c r="B10" s="31">
        <f t="shared" si="0"/>
        <v>0</v>
      </c>
      <c r="C10" s="21" t="s">
        <v>71</v>
      </c>
      <c r="D10" s="32" t="s">
        <v>14</v>
      </c>
      <c r="E10" s="33"/>
    </row>
    <row r="11" spans="1:5" ht="26.25" x14ac:dyDescent="0.45">
      <c r="A11" s="309" t="s">
        <v>16</v>
      </c>
      <c r="B11" s="31">
        <f t="shared" si="0"/>
        <v>0</v>
      </c>
      <c r="C11" s="21" t="s">
        <v>266</v>
      </c>
      <c r="D11" s="32" t="s">
        <v>10</v>
      </c>
      <c r="E11" s="33"/>
    </row>
    <row r="12" spans="1:5" ht="105" x14ac:dyDescent="0.45">
      <c r="A12" s="309" t="s">
        <v>10</v>
      </c>
      <c r="B12" s="31">
        <f t="shared" si="0"/>
        <v>0.14285714285714285</v>
      </c>
      <c r="C12" s="21" t="s">
        <v>267</v>
      </c>
      <c r="D12" s="32" t="s">
        <v>14</v>
      </c>
      <c r="E12" s="33"/>
    </row>
    <row r="13" spans="1:5" ht="39.4" x14ac:dyDescent="0.45">
      <c r="A13" s="309" t="s">
        <v>10</v>
      </c>
      <c r="B13" s="31">
        <f t="shared" si="0"/>
        <v>0.14285714285714285</v>
      </c>
      <c r="C13" s="54" t="s">
        <v>268</v>
      </c>
      <c r="D13" s="32" t="s">
        <v>10</v>
      </c>
      <c r="E13" s="33"/>
    </row>
    <row r="14" spans="1:5" x14ac:dyDescent="0.45">
      <c r="A14" s="309" t="s">
        <v>16</v>
      </c>
      <c r="B14" s="31">
        <f t="shared" si="0"/>
        <v>0</v>
      </c>
      <c r="C14" s="313"/>
      <c r="D14" s="32" t="s">
        <v>10</v>
      </c>
      <c r="E14" s="33"/>
    </row>
    <row r="15" spans="1:5" x14ac:dyDescent="0.45">
      <c r="A15" s="309" t="s">
        <v>16</v>
      </c>
      <c r="B15" s="31">
        <f t="shared" si="0"/>
        <v>0</v>
      </c>
      <c r="C15" s="312"/>
      <c r="D15" s="32" t="s">
        <v>10</v>
      </c>
      <c r="E15" s="33"/>
    </row>
    <row r="16" spans="1:5" x14ac:dyDescent="0.45">
      <c r="A16" s="34"/>
      <c r="B16" s="34"/>
      <c r="C16" s="34"/>
      <c r="D16" s="34"/>
      <c r="E16" s="34"/>
    </row>
    <row r="17" spans="1:6" x14ac:dyDescent="0.45">
      <c r="A17" s="35" t="s">
        <v>17</v>
      </c>
      <c r="B17" s="36"/>
      <c r="C17" s="36"/>
      <c r="D17" s="36"/>
      <c r="E17" s="36"/>
    </row>
    <row r="18" spans="1:6" x14ac:dyDescent="0.45">
      <c r="A18" s="37">
        <f>COUNTIF(A5:A15, "Ja")</f>
        <v>7</v>
      </c>
      <c r="B18" s="18"/>
      <c r="C18" s="36"/>
      <c r="D18" s="36"/>
      <c r="E18" s="36"/>
    </row>
    <row r="19" spans="1:6" x14ac:dyDescent="0.45">
      <c r="A19" s="38" t="s">
        <v>18</v>
      </c>
      <c r="B19" s="36"/>
      <c r="C19" s="36"/>
      <c r="D19" s="36"/>
      <c r="E19" s="36"/>
    </row>
    <row r="20" spans="1:6" x14ac:dyDescent="0.45">
      <c r="A20" s="39">
        <f>1/A18</f>
        <v>0.14285714285714285</v>
      </c>
      <c r="B20" s="18"/>
      <c r="C20" s="36"/>
      <c r="D20" s="36"/>
      <c r="E20" s="36"/>
    </row>
    <row r="21" spans="1:6" x14ac:dyDescent="0.45">
      <c r="A21" s="38" t="s">
        <v>6</v>
      </c>
      <c r="B21" s="36"/>
      <c r="C21" s="36"/>
      <c r="D21" s="36"/>
      <c r="E21" s="36"/>
    </row>
    <row r="22" spans="1:6" x14ac:dyDescent="0.45">
      <c r="A22" s="39">
        <f>SUM(B5:B15)</f>
        <v>0.99999999999999978</v>
      </c>
      <c r="B22" s="18"/>
      <c r="C22" s="36"/>
      <c r="D22" s="36"/>
      <c r="E22" s="36"/>
    </row>
    <row r="23" spans="1:6" x14ac:dyDescent="0.45">
      <c r="A23" s="11"/>
      <c r="B23" s="11"/>
      <c r="C23" s="11"/>
      <c r="D23" s="11"/>
      <c r="E23" s="11"/>
      <c r="F23" s="11"/>
    </row>
    <row r="24" spans="1:6" x14ac:dyDescent="0.45">
      <c r="A24" s="11"/>
      <c r="B24" s="11"/>
      <c r="C24" s="11"/>
      <c r="D24" s="11"/>
      <c r="E24" s="11"/>
      <c r="F24" s="11"/>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row r="236" spans="1:6" x14ac:dyDescent="0.45">
      <c r="A236" s="11"/>
      <c r="B236" s="11"/>
      <c r="C236" s="11"/>
      <c r="D236" s="11"/>
      <c r="E236" s="11"/>
      <c r="F236" s="11"/>
    </row>
    <row r="237" spans="1:6" x14ac:dyDescent="0.45">
      <c r="A237" s="11"/>
      <c r="B237" s="11"/>
      <c r="C237" s="11"/>
      <c r="D237" s="11"/>
      <c r="E237" s="11"/>
      <c r="F237" s="11"/>
    </row>
  </sheetData>
  <mergeCells count="1">
    <mergeCell ref="A3:B3"/>
  </mergeCells>
  <conditionalFormatting sqref="A22">
    <cfRule type="cellIs" dxfId="1" priority="1" operator="greaterThan">
      <formula>1</formula>
    </cfRule>
    <cfRule type="cellIs" dxfId="0" priority="2" operator="lessThan">
      <formula>1</formula>
    </cfRule>
  </conditionalFormatting>
  <dataValidations count="3">
    <dataValidation type="list" allowBlank="1" showInputMessage="1" showErrorMessage="1" sqref="D13:D15 D6 D8:D9 D11" xr:uid="{00000000-0002-0000-1B00-000000000000}">
      <formula1>Boolean_Scale</formula1>
    </dataValidation>
    <dataValidation type="list" allowBlank="1" showInputMessage="1" showErrorMessage="1" sqref="D10 D5 D7 D12" xr:uid="{00000000-0002-0000-1B00-000001000000}">
      <formula1>Likert_Scale</formula1>
    </dataValidation>
    <dataValidation type="list" allowBlank="1" showInputMessage="1" showErrorMessage="1" sqref="A5:A15" xr:uid="{00000000-0002-0000-1B00-000002000000}">
      <formula1>"Ja,Nein"</formula1>
    </dataValidation>
  </dataValidations>
  <pageMargins left="0.39370078740157483" right="0.39370078740157483" top="0.98425196850393704" bottom="0.78740157480314965" header="0.11811023622047245" footer="0.11811023622047245"/>
  <pageSetup paperSize="9" scale="67" orientation="landscape" r:id="rId1"/>
  <headerFooter>
    <oddHeader xml:space="preserve">&amp;L&amp;G
&amp;C&amp;14
&amp;16&amp;A&amp;R
&amp;G </oddHeader>
    <oddFooter>&amp;L&amp;F&amp;C&amp;P von &amp;N&amp;R&amp;D</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25</vt:i4>
      </vt:variant>
      <vt:variant>
        <vt:lpstr>Benannte Bereiche</vt:lpstr>
      </vt:variant>
      <vt:variant>
        <vt:i4>26</vt:i4>
      </vt:variant>
    </vt:vector>
  </HeadingPairs>
  <TitlesOfParts>
    <vt:vector size="51" baseType="lpstr">
      <vt:lpstr>Einführung</vt:lpstr>
      <vt:lpstr>Bewertung und Gewichtung</vt:lpstr>
      <vt:lpstr>Scoring Summary</vt:lpstr>
      <vt:lpstr>rawScores</vt:lpstr>
      <vt:lpstr>Dashboard</vt:lpstr>
      <vt:lpstr>CROM</vt:lpstr>
      <vt:lpstr>Microsoft Online Services</vt:lpstr>
      <vt:lpstr>Cloud Konzepte</vt:lpstr>
      <vt:lpstr>Ziele und Visionen</vt:lpstr>
      <vt:lpstr>Strategische Projekte</vt:lpstr>
      <vt:lpstr>Cloud Services</vt:lpstr>
      <vt:lpstr>IT Service Management</vt:lpstr>
      <vt:lpstr>IT Asset Management</vt:lpstr>
      <vt:lpstr>Cloud Technologien</vt:lpstr>
      <vt:lpstr>IT Lifecycle</vt:lpstr>
      <vt:lpstr>IT Security und Datenschutz</vt:lpstr>
      <vt:lpstr>Cloud Kompetenzen</vt:lpstr>
      <vt:lpstr>Personalentwicklung</vt:lpstr>
      <vt:lpstr>Wissensmanagement</vt:lpstr>
      <vt:lpstr>Aufbau- und Ablauforganisation</vt:lpstr>
      <vt:lpstr>Kommunikation</vt:lpstr>
      <vt:lpstr>Kontrollsysteme</vt:lpstr>
      <vt:lpstr>Outsourcing</vt:lpstr>
      <vt:lpstr>Lieferanten und Dienstleister</vt:lpstr>
      <vt:lpstr>Verträge</vt:lpstr>
      <vt:lpstr>Boolean_Scale</vt:lpstr>
      <vt:lpstr>'Aufbau- und Ablauforganisation'!Druckbereich</vt:lpstr>
      <vt:lpstr>'Bewertung und Gewichtung'!Druckbereich</vt:lpstr>
      <vt:lpstr>'Cloud Kompetenzen'!Druckbereich</vt:lpstr>
      <vt:lpstr>'Cloud Konzepte'!Druckbereich</vt:lpstr>
      <vt:lpstr>'Cloud Services'!Druckbereich</vt:lpstr>
      <vt:lpstr>'Cloud Technologien'!Druckbereich</vt:lpstr>
      <vt:lpstr>CROM!Druckbereich</vt:lpstr>
      <vt:lpstr>Dashboard!Druckbereich</vt:lpstr>
      <vt:lpstr>Einführung!Druckbereich</vt:lpstr>
      <vt:lpstr>'IT Asset Management'!Druckbereich</vt:lpstr>
      <vt:lpstr>'IT Lifecycle'!Druckbereich</vt:lpstr>
      <vt:lpstr>'IT Security und Datenschutz'!Druckbereich</vt:lpstr>
      <vt:lpstr>'IT Service Management'!Druckbereich</vt:lpstr>
      <vt:lpstr>Kommunikation!Druckbereich</vt:lpstr>
      <vt:lpstr>Kontrollsysteme!Druckbereich</vt:lpstr>
      <vt:lpstr>'Lieferanten und Dienstleister'!Druckbereich</vt:lpstr>
      <vt:lpstr>'Microsoft Online Services'!Druckbereich</vt:lpstr>
      <vt:lpstr>Outsourcing!Druckbereich</vt:lpstr>
      <vt:lpstr>Personalentwicklung!Druckbereich</vt:lpstr>
      <vt:lpstr>'Scoring Summary'!Druckbereich</vt:lpstr>
      <vt:lpstr>'Strategische Projekte'!Druckbereich</vt:lpstr>
      <vt:lpstr>Verträge!Druckbereich</vt:lpstr>
      <vt:lpstr>Wissensmanagement!Druckbereich</vt:lpstr>
      <vt:lpstr>'Ziele und Visionen'!Druckbereich</vt:lpstr>
      <vt:lpstr>Likert_Scale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2017-09-29T14:32:47Z</dcterms:created>
  <dcterms:modified xsi:type="dcterms:W3CDTF">2019-06-20T10:33:10Z</dcterms:modified>
</cp:coreProperties>
</file>